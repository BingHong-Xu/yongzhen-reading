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b6ec41ed341e60/德源喬鴻/永貞國小/115圖書館空間環境改善計畫/龍樺裝潢報價及圖說資料/"/>
    </mc:Choice>
  </mc:AlternateContent>
  <xr:revisionPtr revIDLastSave="32" documentId="13_ncr:1_{095B6B28-059A-4BB4-9A90-7D79E5B53E89}" xr6:coauthVersionLast="47" xr6:coauthVersionMax="47" xr10:uidLastSave="{20A82783-FEB7-4ED4-8D75-D2091DEE4AB5}"/>
  <bookViews>
    <workbookView xWindow="-110" yWindow="-110" windowWidth="19420" windowHeight="10300" activeTab="1" xr2:uid="{00000000-000D-0000-FFFF-FFFF00000000}"/>
  </bookViews>
  <sheets>
    <sheet name="300總表" sheetId="8" r:id="rId1"/>
    <sheet name="300詳細價目表 " sheetId="9" r:id="rId2"/>
    <sheet name="單價分析表" sheetId="5" state="hidden" r:id="rId3"/>
  </sheets>
  <definedNames>
    <definedName name="_xlnm.Print_Area" localSheetId="1">'300詳細價目表 '!$A$1:$G$101</definedName>
    <definedName name="_xlnm.Print_Area" localSheetId="0">'300總表'!$A$1:$J$24</definedName>
    <definedName name="_xlnm.Print_Area" localSheetId="2">單價分析表!$A$1:$J$108</definedName>
    <definedName name="_xlnm.Print_Titles" localSheetId="1">'300詳細價目表 '!$1:$5</definedName>
    <definedName name="_xlnm.Print_Titles" localSheetId="0">'300總表'!$1:$5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9" l="1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13" i="9"/>
  <c r="F12" i="9"/>
  <c r="F11" i="9"/>
  <c r="F10" i="9"/>
  <c r="F9" i="9"/>
  <c r="F8" i="9"/>
  <c r="F14" i="9" s="1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82" i="9"/>
  <c r="F83" i="9"/>
  <c r="F84" i="9"/>
  <c r="F81" i="9"/>
  <c r="F72" i="9"/>
  <c r="F73" i="9"/>
  <c r="F74" i="9"/>
  <c r="F75" i="9"/>
  <c r="F76" i="9"/>
  <c r="F77" i="9"/>
  <c r="F78" i="9"/>
  <c r="F71" i="9"/>
  <c r="F79" i="9" s="1"/>
  <c r="F69" i="9" l="1"/>
  <c r="F40" i="9"/>
  <c r="F85" i="9" l="1"/>
  <c r="F86" i="9" s="1"/>
  <c r="F87" i="9" s="1"/>
  <c r="F98" i="9" l="1"/>
  <c r="G21" i="8" s="1"/>
  <c r="B118" i="9"/>
  <c r="B119" i="9" s="1"/>
  <c r="F91" i="9" l="1"/>
  <c r="G16" i="8" s="1"/>
  <c r="F96" i="9"/>
  <c r="G19" i="8" s="1"/>
  <c r="F90" i="9"/>
  <c r="G15" i="8" s="1"/>
  <c r="F88" i="9"/>
  <c r="F89" i="9"/>
  <c r="G14" i="8" s="1"/>
  <c r="G7" i="8"/>
  <c r="G9" i="8"/>
  <c r="G8" i="8"/>
  <c r="G10" i="8"/>
  <c r="G13" i="8" l="1"/>
  <c r="F92" i="9"/>
  <c r="G11" i="8"/>
  <c r="K58" i="5"/>
  <c r="F93" i="9" l="1"/>
  <c r="G17" i="8"/>
  <c r="G12" i="8"/>
  <c r="K76" i="5"/>
  <c r="H74" i="5"/>
  <c r="B74" i="5"/>
  <c r="H56" i="5"/>
  <c r="B56" i="5"/>
  <c r="K40" i="5"/>
  <c r="H39" i="5"/>
  <c r="B39" i="5"/>
  <c r="I62" i="5"/>
  <c r="I61" i="5"/>
  <c r="I60" i="5"/>
  <c r="I59" i="5"/>
  <c r="I58" i="5"/>
  <c r="I45" i="5"/>
  <c r="I44" i="5"/>
  <c r="I43" i="5"/>
  <c r="I42" i="5"/>
  <c r="I41" i="5"/>
  <c r="I76" i="5"/>
  <c r="I77" i="5"/>
  <c r="I78" i="5"/>
  <c r="I79" i="5"/>
  <c r="I80" i="5"/>
  <c r="I28" i="5"/>
  <c r="I27" i="5"/>
  <c r="I26" i="5"/>
  <c r="I25" i="5"/>
  <c r="I24" i="5"/>
  <c r="I8" i="5"/>
  <c r="I9" i="5"/>
  <c r="I10" i="5"/>
  <c r="I11" i="5"/>
  <c r="I7" i="5"/>
  <c r="F94" i="9" l="1"/>
  <c r="F81" i="5"/>
  <c r="F63" i="5"/>
  <c r="F46" i="5"/>
  <c r="F29" i="5"/>
  <c r="F12" i="5"/>
  <c r="F97" i="9" l="1"/>
  <c r="F99" i="9" l="1"/>
  <c r="G20" i="8"/>
  <c r="G22" i="8" l="1"/>
  <c r="F100" i="9"/>
  <c r="G23" i="8" s="1"/>
</calcChain>
</file>

<file path=xl/sharedStrings.xml><?xml version="1.0" encoding="utf-8"?>
<sst xmlns="http://schemas.openxmlformats.org/spreadsheetml/2006/main" count="427" uniqueCount="259">
  <si>
    <t>工程名稱</t>
  </si>
  <si>
    <t>會計科目</t>
  </si>
  <si>
    <t>施工地點</t>
  </si>
  <si>
    <t>工程編號</t>
  </si>
  <si>
    <t>項 次</t>
  </si>
  <si>
    <t>項  目  及  說  明</t>
  </si>
  <si>
    <t>單 位</t>
  </si>
  <si>
    <t>數 量</t>
  </si>
  <si>
    <t>單 價</t>
  </si>
  <si>
    <t>複 價</t>
  </si>
  <si>
    <t>編碼(備註)</t>
  </si>
  <si>
    <t>組</t>
  </si>
  <si>
    <t>式</t>
  </si>
  <si>
    <t>壹</t>
    <phoneticPr fontId="1" type="noConversion"/>
  </si>
  <si>
    <t>1</t>
    <phoneticPr fontId="1" type="noConversion"/>
  </si>
  <si>
    <t>2</t>
    <phoneticPr fontId="1" type="noConversion"/>
  </si>
  <si>
    <t>3</t>
  </si>
  <si>
    <t>4</t>
  </si>
  <si>
    <t>5</t>
  </si>
  <si>
    <t>式</t>
    <phoneticPr fontId="1" type="noConversion"/>
  </si>
  <si>
    <t>10</t>
  </si>
  <si>
    <t>11</t>
  </si>
  <si>
    <t>假設工程</t>
    <phoneticPr fontId="1" type="noConversion"/>
  </si>
  <si>
    <t>小計</t>
    <phoneticPr fontId="1" type="noConversion"/>
  </si>
  <si>
    <t>6</t>
  </si>
  <si>
    <t>機具搬運費</t>
  </si>
  <si>
    <t>材料搬運費</t>
    <phoneticPr fontId="3" type="noConversion"/>
  </si>
  <si>
    <t>式</t>
    <phoneticPr fontId="3" type="noConversion"/>
  </si>
  <si>
    <t>水電燈具工程</t>
    <phoneticPr fontId="3" type="noConversion"/>
  </si>
  <si>
    <t>吊燈安裝工資</t>
  </si>
  <si>
    <t>吸頂圓筒燈</t>
    <phoneticPr fontId="3" type="noConversion"/>
  </si>
  <si>
    <t>軌道燈安裝工資</t>
  </si>
  <si>
    <t>7</t>
  </si>
  <si>
    <t>8</t>
  </si>
  <si>
    <t>9</t>
  </si>
  <si>
    <t>裝修工程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</si>
  <si>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</si>
  <si>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</si>
  <si>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</si>
  <si>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</si>
  <si>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</si>
  <si>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</si>
  <si>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</si>
  <si>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</si>
  <si>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</si>
  <si>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張</t>
  </si>
  <si>
    <t>座</t>
  </si>
  <si>
    <t>坪</t>
  </si>
  <si>
    <t>家具及設備工程</t>
  </si>
  <si>
    <t>櫃檯區辦公椅</t>
    <phoneticPr fontId="3" type="noConversion"/>
  </si>
  <si>
    <t>工程名稱:苗栗縣立三灣國民中學教師宿舍修繕工程</t>
    <phoneticPr fontId="1" type="noConversion"/>
  </si>
  <si>
    <t>項次</t>
    <phoneticPr fontId="1" type="noConversion"/>
  </si>
  <si>
    <t>工程項目</t>
    <phoneticPr fontId="1" type="noConversion"/>
  </si>
  <si>
    <t>櫃檯區造型矮牆</t>
    <phoneticPr fontId="1" type="noConversion"/>
  </si>
  <si>
    <t>單位:</t>
    <phoneticPr fontId="1" type="noConversion"/>
  </si>
  <si>
    <t>尺</t>
    <phoneticPr fontId="1" type="noConversion"/>
  </si>
  <si>
    <t>工料名稱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</si>
  <si>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</si>
  <si>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</si>
  <si>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</si>
  <si>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複價</t>
    <phoneticPr fontId="1" type="noConversion"/>
  </si>
  <si>
    <t>角材</t>
    <phoneticPr fontId="1" type="noConversion"/>
  </si>
  <si>
    <t>皮板</t>
    <phoneticPr fontId="1" type="noConversion"/>
  </si>
  <si>
    <t>五金配件</t>
    <phoneticPr fontId="1" type="noConversion"/>
  </si>
  <si>
    <t>安裝工資</t>
    <phoneticPr fontId="1" type="noConversion"/>
  </si>
  <si>
    <t>搬運及備料</t>
    <phoneticPr fontId="1" type="noConversion"/>
  </si>
  <si>
    <t>支</t>
    <phoneticPr fontId="1" type="noConversion"/>
  </si>
  <si>
    <t>片</t>
    <phoneticPr fontId="1" type="noConversion"/>
  </si>
  <si>
    <t>式</t>
    <phoneticPr fontId="1" type="noConversion"/>
  </si>
  <si>
    <t>工</t>
    <phoneticPr fontId="1" type="noConversion"/>
  </si>
  <si>
    <t>小計</t>
    <phoneticPr fontId="1" type="noConversion"/>
  </si>
  <si>
    <t>柱面修飾</t>
    <phoneticPr fontId="1" type="noConversion"/>
  </si>
  <si>
    <t>處</t>
    <phoneticPr fontId="1" type="noConversion"/>
  </si>
  <si>
    <t>水泥漆</t>
    <phoneticPr fontId="1" type="noConversion"/>
  </si>
  <si>
    <t>牆面批土</t>
    <phoneticPr fontId="1" type="noConversion"/>
  </si>
  <si>
    <t>施作工資</t>
    <phoneticPr fontId="1" type="noConversion"/>
  </si>
  <si>
    <t>備料</t>
    <phoneticPr fontId="1" type="noConversion"/>
  </si>
  <si>
    <t>五金、耗材配件</t>
    <phoneticPr fontId="1" type="noConversion"/>
  </si>
  <si>
    <t>坪</t>
    <phoneticPr fontId="1" type="noConversion"/>
  </si>
  <si>
    <t>參-19</t>
    <phoneticPr fontId="1" type="noConversion"/>
  </si>
  <si>
    <t>坪</t>
    <phoneticPr fontId="1" type="noConversion"/>
  </si>
  <si>
    <t>坪</t>
    <phoneticPr fontId="1" type="noConversion"/>
  </si>
  <si>
    <t>PVC地磚</t>
    <phoneticPr fontId="1" type="noConversion"/>
  </si>
  <si>
    <t>地板感壓膠</t>
    <phoneticPr fontId="1" type="noConversion"/>
  </si>
  <si>
    <t>備料</t>
    <phoneticPr fontId="1" type="noConversion"/>
  </si>
  <si>
    <t>編碼(備註)</t>
    <phoneticPr fontId="1" type="noConversion"/>
  </si>
  <si>
    <t>苗栗縣立三灣國民中學</t>
    <phoneticPr fontId="1" type="noConversion"/>
  </si>
  <si>
    <t>會計科目</t>
    <phoneticPr fontId="1" type="noConversion"/>
  </si>
  <si>
    <t>苗栗縣</t>
    <phoneticPr fontId="1" type="noConversion"/>
  </si>
  <si>
    <t>施工地點</t>
    <phoneticPr fontId="1" type="noConversion"/>
  </si>
  <si>
    <t>工程編號</t>
    <phoneticPr fontId="1" type="noConversion"/>
  </si>
  <si>
    <t>工程名稱</t>
    <phoneticPr fontId="1" type="noConversion"/>
  </si>
  <si>
    <t>金額</t>
    <phoneticPr fontId="1" type="noConversion"/>
  </si>
  <si>
    <t>備註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</si>
  <si>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</si>
  <si>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</si>
  <si>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</si>
  <si>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</si>
  <si>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</si>
  <si>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</si>
  <si>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七</t>
    <phoneticPr fontId="1" type="noConversion"/>
  </si>
  <si>
    <t>八</t>
    <phoneticPr fontId="1" type="noConversion"/>
  </si>
  <si>
    <t>發包工程費</t>
    <phoneticPr fontId="1" type="noConversion"/>
  </si>
  <si>
    <t>九</t>
    <phoneticPr fontId="1" type="noConversion"/>
  </si>
  <si>
    <t>施工測量，工地放樣</t>
    <phoneticPr fontId="1" type="noConversion"/>
  </si>
  <si>
    <t>總表[預算]</t>
    <phoneticPr fontId="1" type="noConversion"/>
  </si>
  <si>
    <t>115年度圖書館空間改善工程</t>
    <phoneticPr fontId="1" type="noConversion"/>
  </si>
  <si>
    <t>詳細價目表[預算]</t>
    <phoneticPr fontId="1" type="noConversion"/>
  </si>
  <si>
    <t>工程編號：</t>
    <phoneticPr fontId="3" type="noConversion"/>
  </si>
  <si>
    <t>單價分析表[預算]</t>
    <phoneticPr fontId="1" type="noConversion"/>
  </si>
  <si>
    <t>項次：</t>
    <phoneticPr fontId="1" type="noConversion"/>
  </si>
  <si>
    <t>壹.二.1</t>
    <phoneticPr fontId="1" type="noConversion"/>
  </si>
  <si>
    <t>壹.二.3</t>
    <phoneticPr fontId="1" type="noConversion"/>
  </si>
  <si>
    <t>壹.二.10</t>
    <phoneticPr fontId="1" type="noConversion"/>
  </si>
  <si>
    <t>職業安全衛生管理費</t>
    <phoneticPr fontId="1" type="noConversion"/>
  </si>
  <si>
    <t>壹.二.17</t>
    <phoneticPr fontId="1" type="noConversion"/>
  </si>
  <si>
    <t>拆除清運工程</t>
    <phoneticPr fontId="1" type="noConversion"/>
  </si>
  <si>
    <t>吸頂圓筒燈安裝工資</t>
    <phoneticPr fontId="1" type="noConversion"/>
  </si>
  <si>
    <t>新設吊扇</t>
    <phoneticPr fontId="1" type="noConversion"/>
  </si>
  <si>
    <t>新設吊扇工資</t>
    <phoneticPr fontId="1" type="noConversion"/>
  </si>
  <si>
    <t>片</t>
    <phoneticPr fontId="1" type="noConversion"/>
  </si>
  <si>
    <t>式</t>
    <phoneticPr fontId="1" type="noConversion"/>
  </si>
  <si>
    <t>書櫃壓克力標示牌(W15*H5cm)</t>
    <phoneticPr fontId="1" type="noConversion"/>
  </si>
  <si>
    <t>組</t>
    <phoneticPr fontId="1" type="noConversion"/>
  </si>
  <si>
    <t>迴</t>
    <phoneticPr fontId="1" type="noConversion"/>
  </si>
  <si>
    <t>討論區移動式造型桌</t>
    <phoneticPr fontId="3" type="noConversion"/>
  </si>
  <si>
    <t>座</t>
    <phoneticPr fontId="1" type="noConversion"/>
  </si>
  <si>
    <t>討論區及窗邊區座椅</t>
    <phoneticPr fontId="3" type="noConversion"/>
  </si>
  <si>
    <t>投射型軌道燈</t>
    <phoneticPr fontId="1" type="noConversion"/>
  </si>
  <si>
    <t>散光型軌道燈</t>
    <phoneticPr fontId="1" type="noConversion"/>
  </si>
  <si>
    <t>米</t>
    <phoneticPr fontId="1" type="noConversion"/>
  </si>
  <si>
    <t>式</t>
    <phoneticPr fontId="1" type="noConversion"/>
  </si>
  <si>
    <t>全室牆面/天花板重新粉刷修補(跳色)</t>
    <phoneticPr fontId="1" type="noConversion"/>
  </si>
  <si>
    <t>軌道含吊桿</t>
    <phoneticPr fontId="1" type="noConversion"/>
  </si>
  <si>
    <t>片</t>
    <phoneticPr fontId="1" type="noConversion"/>
  </si>
  <si>
    <t>懸掛式壓克力標示牌(W40*H15cm)</t>
    <phoneticPr fontId="1" type="noConversion"/>
  </si>
  <si>
    <t>座</t>
    <phoneticPr fontId="1" type="noConversion"/>
  </si>
  <si>
    <t>苗栗縣永貞國小中學</t>
    <phoneticPr fontId="1" type="noConversion"/>
  </si>
  <si>
    <t>既有燈具、吊扇、拆除清運</t>
    <phoneticPr fontId="1" type="noConversion"/>
  </si>
  <si>
    <t>既有捲簾含軌道五金拆卸</t>
    <phoneticPr fontId="1" type="noConversion"/>
  </si>
  <si>
    <t>既有鐵窗及鐵捲門拆除(交由校方)</t>
    <phoneticPr fontId="1" type="noConversion"/>
  </si>
  <si>
    <t>既有水槽拆除清運</t>
    <phoneticPr fontId="1" type="noConversion"/>
  </si>
  <si>
    <t>既有木櫃拆除清運</t>
    <phoneticPr fontId="1" type="noConversion"/>
  </si>
  <si>
    <t>既有土台拆除清運</t>
    <phoneticPr fontId="1" type="noConversion"/>
  </si>
  <si>
    <t>2</t>
    <phoneticPr fontId="1" type="noConversion"/>
  </si>
  <si>
    <t>新設one touch</t>
    <phoneticPr fontId="1" type="noConversion"/>
  </si>
  <si>
    <t>既有冷氣拆裝</t>
    <phoneticPr fontId="1" type="noConversion"/>
  </si>
  <si>
    <t>既有開關迴路檢整佈線</t>
    <phoneticPr fontId="1" type="noConversion"/>
  </si>
  <si>
    <t>新設雙連插座接地型</t>
    <phoneticPr fontId="1" type="noConversion"/>
  </si>
  <si>
    <t>迴</t>
    <phoneticPr fontId="1" type="noConversion"/>
  </si>
  <si>
    <t>新設網路插座接地型</t>
    <phoneticPr fontId="1" type="noConversion"/>
  </si>
  <si>
    <t>新設電視插座接地型</t>
    <phoneticPr fontId="1" type="noConversion"/>
  </si>
  <si>
    <t>新設電話插座接地型</t>
    <phoneticPr fontId="1" type="noConversion"/>
  </si>
  <si>
    <t>式</t>
    <phoneticPr fontId="1" type="noConversion"/>
  </si>
  <si>
    <t>尺</t>
    <phoneticPr fontId="1" type="noConversion"/>
  </si>
  <si>
    <t>樘</t>
    <phoneticPr fontId="1" type="noConversion"/>
  </si>
  <si>
    <t>舞台區-造型拉推拉門上方封板</t>
    <phoneticPr fontId="1" type="noConversion"/>
  </si>
  <si>
    <t>電信設備櫃(一)</t>
    <phoneticPr fontId="1" type="noConversion"/>
  </si>
  <si>
    <t>電信設備櫃(二)</t>
    <phoneticPr fontId="1" type="noConversion"/>
  </si>
  <si>
    <t>廣播設備櫃</t>
    <phoneticPr fontId="1" type="noConversion"/>
  </si>
  <si>
    <t>監視設備櫃</t>
    <phoneticPr fontId="1" type="noConversion"/>
  </si>
  <si>
    <t>保全及電箱設備櫃</t>
    <phoneticPr fontId="1" type="noConversion"/>
  </si>
  <si>
    <t>座</t>
    <phoneticPr fontId="1" type="noConversion"/>
  </si>
  <si>
    <t>造型大窩居(含泡棉)</t>
    <phoneticPr fontId="1" type="noConversion"/>
  </si>
  <si>
    <t>造型小窩居(含泡棉)</t>
    <phoneticPr fontId="1" type="noConversion"/>
  </si>
  <si>
    <t>防焰捲簾</t>
    <phoneticPr fontId="1" type="noConversion"/>
  </si>
  <si>
    <t>檢索桌(W100*D60cm)</t>
    <phoneticPr fontId="1" type="noConversion"/>
  </si>
  <si>
    <t>21</t>
  </si>
  <si>
    <t>22</t>
  </si>
  <si>
    <t>23</t>
  </si>
  <si>
    <t>24</t>
  </si>
  <si>
    <t>25</t>
  </si>
  <si>
    <t>舞台區</t>
    <phoneticPr fontId="1" type="noConversion"/>
  </si>
  <si>
    <t>圖書區/舞台區</t>
    <phoneticPr fontId="1" type="noConversion"/>
  </si>
  <si>
    <t>圖書區</t>
    <phoneticPr fontId="1" type="noConversion"/>
  </si>
  <si>
    <t>理書區</t>
    <phoneticPr fontId="1" type="noConversion"/>
  </si>
  <si>
    <t>造型矮凳</t>
    <phoneticPr fontId="1" type="noConversion"/>
  </si>
  <si>
    <t>LED崁燈</t>
    <phoneticPr fontId="3" type="noConversion"/>
  </si>
  <si>
    <t>LED崁燈安裝工資</t>
    <phoneticPr fontId="3" type="noConversion"/>
  </si>
  <si>
    <t>含地板修復</t>
    <phoneticPr fontId="1" type="noConversion"/>
  </si>
  <si>
    <t>藤扁吊燈(小)</t>
    <phoneticPr fontId="1" type="noConversion"/>
  </si>
  <si>
    <t>藤扁吊燈(大)</t>
    <phoneticPr fontId="1" type="noConversion"/>
  </si>
  <si>
    <t>工程告示牌含圍籬</t>
    <phoneticPr fontId="1" type="noConversion"/>
  </si>
  <si>
    <t>靠窗邊</t>
    <phoneticPr fontId="1" type="noConversion"/>
  </si>
  <si>
    <t>系統櫃開放矮書櫃(W65*D30*H115cm)</t>
    <phoneticPr fontId="1" type="noConversion"/>
  </si>
  <si>
    <t>系統櫃開放矮書櫃(W60*D30*H115cm)</t>
    <phoneticPr fontId="1" type="noConversion"/>
  </si>
  <si>
    <t>系統櫃開放高書櫃(W60*D30*H210cm)</t>
    <phoneticPr fontId="1" type="noConversion"/>
  </si>
  <si>
    <t>系統櫃開放高書櫃(W44*D30*H210cm)</t>
    <phoneticPr fontId="1" type="noConversion"/>
  </si>
  <si>
    <t>系統櫃開放高書櫃(W25*D30*H210cm)</t>
    <phoneticPr fontId="1" type="noConversion"/>
  </si>
  <si>
    <t>系統櫃開放高書櫃(W60*D30*H220cm)</t>
    <phoneticPr fontId="1" type="noConversion"/>
  </si>
  <si>
    <t>系統櫃開放高書櫃(W24*D30*H220cm)</t>
    <phoneticPr fontId="1" type="noConversion"/>
  </si>
  <si>
    <t>雜誌櫃(W120*D50*H1150cm)</t>
    <phoneticPr fontId="1" type="noConversion"/>
  </si>
  <si>
    <t>新書展示櫃(W1800*D30*H1450cm)</t>
    <phoneticPr fontId="1" type="noConversion"/>
  </si>
  <si>
    <t>新設線型吊燈</t>
    <phoneticPr fontId="1" type="noConversion"/>
  </si>
  <si>
    <t>組</t>
    <phoneticPr fontId="1" type="noConversion"/>
  </si>
  <si>
    <t>充電式LED燈</t>
    <phoneticPr fontId="1" type="noConversion"/>
  </si>
  <si>
    <t>26</t>
  </si>
  <si>
    <t>27</t>
  </si>
  <si>
    <t>苗栗縣立永貞國民小學</t>
    <phoneticPr fontId="1" type="noConversion"/>
  </si>
  <si>
    <t>苗栗縣</t>
    <phoneticPr fontId="1" type="noConversion"/>
  </si>
  <si>
    <t>入口處-木作移動式還書箱</t>
    <phoneticPr fontId="1" type="noConversion"/>
  </si>
  <si>
    <t>木作服務櫃台(含單面抽屜+線型燈條)</t>
    <phoneticPr fontId="1" type="noConversion"/>
  </si>
  <si>
    <t>舞台區-木作架高地板(含線型燈條)</t>
    <phoneticPr fontId="1" type="noConversion"/>
  </si>
  <si>
    <t>舞台區-造型木作拉推拉門</t>
    <phoneticPr fontId="1" type="noConversion"/>
  </si>
  <si>
    <t>張</t>
    <phoneticPr fontId="1" type="noConversion"/>
  </si>
  <si>
    <t>PVC地板</t>
    <phoneticPr fontId="1" type="noConversion"/>
  </si>
  <si>
    <t>鐵製書報架(W60*H109cm)</t>
    <phoneticPr fontId="1" type="noConversion"/>
  </si>
  <si>
    <t>新設雙連插座接地型-USB插座</t>
    <phoneticPr fontId="1" type="noConversion"/>
  </si>
  <si>
    <t>窗邊閱讀桌(W140*D60cm)各設1個USB插座</t>
    <phoneticPr fontId="1" type="noConversion"/>
  </si>
  <si>
    <t>工程品管作業費</t>
    <phoneticPr fontId="1" type="noConversion"/>
  </si>
  <si>
    <t>包商利潤管理費</t>
    <phoneticPr fontId="1" type="noConversion"/>
  </si>
  <si>
    <t>營造綜合保險費</t>
    <phoneticPr fontId="1" type="noConversion"/>
  </si>
  <si>
    <t>二</t>
  </si>
  <si>
    <t>二</t>
    <phoneticPr fontId="1" type="noConversion"/>
  </si>
  <si>
    <t>三</t>
  </si>
  <si>
    <t>三</t>
    <phoneticPr fontId="1" type="noConversion"/>
  </si>
  <si>
    <t>四</t>
    <phoneticPr fontId="1" type="noConversion"/>
  </si>
  <si>
    <t>五</t>
    <phoneticPr fontId="1" type="noConversion"/>
  </si>
  <si>
    <t>十</t>
    <phoneticPr fontId="1" type="noConversion"/>
  </si>
  <si>
    <t>包商營業稅</t>
  </si>
  <si>
    <t>5.00%</t>
  </si>
  <si>
    <t>貳</t>
  </si>
  <si>
    <t>自辦工程費</t>
  </si>
  <si>
    <t>一</t>
  </si>
  <si>
    <t>工程管理費</t>
  </si>
  <si>
    <t>空氣汙染防制費</t>
  </si>
  <si>
    <t>委外設計監造費</t>
  </si>
  <si>
    <t>小計</t>
  </si>
  <si>
    <t>總計</t>
  </si>
  <si>
    <t>本  工  程  總  額</t>
  </si>
  <si>
    <t>新台幣</t>
  </si>
  <si>
    <t xml:space="preserve"> </t>
    <phoneticPr fontId="1" type="noConversion"/>
  </si>
  <si>
    <t>入口處-大門造型入口意象(含logo,主題書櫃)</t>
    <phoneticPr fontId="1" type="noConversion"/>
  </si>
  <si>
    <t xml:space="preserve"> </t>
    <phoneticPr fontId="1" type="noConversion"/>
  </si>
  <si>
    <t>環境清潔及維護復原費</t>
  </si>
  <si>
    <t>合計B</t>
    <phoneticPr fontId="1" type="noConversion"/>
  </si>
  <si>
    <t>合計A(一~五)</t>
  </si>
  <si>
    <t>合計A(一~五)</t>
    <phoneticPr fontId="1" type="noConversion"/>
  </si>
  <si>
    <t>參佰萬</t>
    <phoneticPr fontId="1" type="noConversion"/>
  </si>
  <si>
    <t>工理管理費</t>
    <phoneticPr fontId="1" type="noConversion"/>
  </si>
  <si>
    <t>壹</t>
  </si>
  <si>
    <t>發包工程費</t>
  </si>
  <si>
    <t>拆除清運工程</t>
  </si>
  <si>
    <t>水電燈具工程</t>
  </si>
  <si>
    <t>假設工程</t>
  </si>
  <si>
    <t>職業安全衛生管理費</t>
  </si>
  <si>
    <t>工程品管作業費</t>
  </si>
  <si>
    <t>包商利潤管理費</t>
  </si>
  <si>
    <t>營造綜合保險費</t>
  </si>
  <si>
    <t>六</t>
    <phoneticPr fontId="1" type="noConversion"/>
  </si>
  <si>
    <t>七</t>
    <phoneticPr fontId="1" type="noConversion"/>
  </si>
  <si>
    <t>八</t>
    <phoneticPr fontId="1" type="noConversion"/>
  </si>
  <si>
    <t>九</t>
    <phoneticPr fontId="1" type="noConversion"/>
  </si>
  <si>
    <t>十</t>
    <phoneticPr fontId="1" type="noConversion"/>
  </si>
  <si>
    <t>支</t>
  </si>
  <si>
    <t>由校方提供攝影機設備代為安裝</t>
    <phoneticPr fontId="1" type="noConversion"/>
  </si>
  <si>
    <r>
      <t>既有室內型攝影機拆裝(含線路安裝</t>
    </r>
    <r>
      <rPr>
        <b/>
        <sz val="14"/>
        <color rgb="FFFF0000"/>
        <rFont val="細明體"/>
        <family val="3"/>
        <charset val="136"/>
      </rPr>
      <t>)</t>
    </r>
    <phoneticPr fontId="1" type="noConversion"/>
  </si>
  <si>
    <t>窗邊閱讀桌(W140*D40cm)</t>
    <phoneticPr fontId="3" type="noConversion"/>
  </si>
  <si>
    <t>圖書區*31            理書區*10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</si>
</sst>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_-;\-* #,##0_-;_-* &quot;-&quot;??_-;_-@_-"/>
    <numFmt numFmtId="178" formatCode="0.0000"/>
    <numFmt numFmtId="179" formatCode="_-* #,##0.00_-;\-* #,##0.00_-;_-* &quot;-&quot;??_-;_-@"/>
    <numFmt numFmtId="180" formatCode="_-* #,##0_-;\-* #,##0_-;_-* &quot;-&quot;??_-;_-@"/>
    <numFmt numFmtId="181" formatCode="0.0%"/>
    <numFmt numFmtId="182" formatCode="[DBNum2][$-404]General&quot;元整&quot;"/>
  </numFmts>
  <fonts count="2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sz val="9"/>
      <name val="細明體"/>
      <family val="3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0"/>
      <name val="標楷體"/>
      <family val="4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rgb="FFFF0000"/>
      <name val="Microsoft JhengHei"/>
      <family val="2"/>
      <charset val="136"/>
    </font>
    <font>
      <b/>
      <sz val="12"/>
      <name val="Microsoft JhengHei"/>
      <family val="2"/>
      <charset val="136"/>
    </font>
    <font>
      <b/>
      <sz val="14"/>
      <name val="Microsoft JhengHei"/>
      <family val="2"/>
      <charset val="136"/>
    </font>
    <font>
      <b/>
      <sz val="16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name val="新細明體"/>
      <family val="2"/>
      <charset val="136"/>
      <scheme val="minor"/>
    </font>
    <font>
      <b/>
      <sz val="12"/>
      <color rgb="FFFF0000"/>
      <name val="Calibri"/>
      <family val="2"/>
    </font>
    <font>
      <sz val="14"/>
      <color theme="1"/>
      <name val="新細明體"/>
      <family val="2"/>
      <charset val="136"/>
      <scheme val="minor"/>
    </font>
    <font>
      <b/>
      <sz val="14"/>
      <color rgb="FFFF0000"/>
      <name val="新細明體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4"/>
      <color theme="1"/>
      <name val="新細明體"/>
      <family val="2"/>
      <charset val="136"/>
      <scheme val="minor"/>
    </font>
    <font>
      <b/>
      <sz val="14"/>
      <color rgb="FFFF0000"/>
      <name val="Calibri"/>
      <family val="2"/>
    </font>
    <font>
      <sz val="12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4"/>
      <color rgb="FFFF0000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AEEF3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41" fontId="0" fillId="0" borderId="0" xfId="0" applyNumberFormat="1">
      <alignment vertical="center"/>
    </xf>
    <xf numFmtId="0" fontId="4" fillId="0" borderId="16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5" xfId="0" applyFont="1" applyBorder="1">
      <alignment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6" xfId="0" applyFont="1" applyBorder="1">
      <alignment vertical="center"/>
    </xf>
    <xf numFmtId="0" fontId="8" fillId="0" borderId="9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181" fontId="12" fillId="0" borderId="1" xfId="0" applyNumberFormat="1" applyFont="1" applyBorder="1">
      <alignment vertical="center"/>
    </xf>
    <xf numFmtId="179" fontId="12" fillId="0" borderId="1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0" fontId="10" fillId="3" borderId="1" xfId="0" applyFont="1" applyFill="1" applyBorder="1" applyAlignment="1">
      <alignment horizontal="center" vertical="center"/>
    </xf>
    <xf numFmtId="179" fontId="10" fillId="3" borderId="1" xfId="0" applyNumberFormat="1" applyFont="1" applyFill="1" applyBorder="1">
      <alignment vertical="center"/>
    </xf>
    <xf numFmtId="180" fontId="10" fillId="3" borderId="1" xfId="0" applyNumberFormat="1" applyFont="1" applyFill="1" applyBorder="1">
      <alignment vertical="center"/>
    </xf>
    <xf numFmtId="177" fontId="2" fillId="0" borderId="14" xfId="0" applyNumberFormat="1" applyFont="1" applyBorder="1" applyAlignment="1" applyProtection="1">
      <alignment vertical="center" shrinkToFit="1"/>
      <protection locked="0"/>
    </xf>
    <xf numFmtId="41" fontId="2" fillId="0" borderId="14" xfId="0" applyNumberFormat="1" applyFont="1" applyBorder="1" applyAlignment="1" applyProtection="1">
      <alignment horizontal="right" vertical="center" shrinkToFit="1"/>
      <protection locked="0"/>
    </xf>
    <xf numFmtId="0" fontId="2" fillId="0" borderId="14" xfId="0" applyFont="1" applyBorder="1" applyAlignment="1" applyProtection="1">
      <alignment horizontal="right" vertical="center" shrinkToFit="1"/>
      <protection locked="0"/>
    </xf>
    <xf numFmtId="0" fontId="12" fillId="0" borderId="16" xfId="0" applyFont="1" applyBorder="1" applyAlignment="1">
      <alignment horizontal="center" vertical="center"/>
    </xf>
    <xf numFmtId="180" fontId="12" fillId="0" borderId="14" xfId="0" applyNumberFormat="1" applyFont="1" applyBorder="1" applyAlignment="1">
      <alignment horizontal="right" vertical="center"/>
    </xf>
    <xf numFmtId="0" fontId="10" fillId="3" borderId="16" xfId="0" applyFont="1" applyFill="1" applyBorder="1" applyAlignment="1">
      <alignment horizontal="center" vertical="center"/>
    </xf>
    <xf numFmtId="180" fontId="10" fillId="3" borderId="14" xfId="0" applyNumberFormat="1" applyFont="1" applyFill="1" applyBorder="1">
      <alignment vertical="center"/>
    </xf>
    <xf numFmtId="0" fontId="10" fillId="4" borderId="24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16" xfId="0" applyFont="1" applyBorder="1" applyAlignment="1" applyProtection="1">
      <alignment horizontal="center" vertical="center" wrapText="1" shrinkToFit="1"/>
      <protection locked="0"/>
    </xf>
    <xf numFmtId="0" fontId="9" fillId="0" borderId="1" xfId="0" applyFont="1" applyBorder="1" applyAlignment="1" applyProtection="1">
      <alignment horizontal="center" vertical="center" wrapText="1" shrinkToFit="1"/>
      <protection locked="0"/>
    </xf>
    <xf numFmtId="176" fontId="9" fillId="0" borderId="1" xfId="0" applyNumberFormat="1" applyFont="1" applyBorder="1" applyAlignment="1" applyProtection="1">
      <alignment horizontal="center" vertical="center" wrapText="1" shrinkToFit="1"/>
      <protection locked="0"/>
    </xf>
    <xf numFmtId="0" fontId="9" fillId="0" borderId="14" xfId="0" applyFont="1" applyBorder="1" applyAlignment="1" applyProtection="1">
      <alignment horizontal="center" vertical="center" shrinkToFit="1"/>
      <protection locked="0"/>
    </xf>
    <xf numFmtId="0" fontId="9" fillId="0" borderId="1" xfId="0" applyFont="1" applyBorder="1">
      <alignment vertical="center"/>
    </xf>
    <xf numFmtId="0" fontId="9" fillId="0" borderId="1" xfId="0" applyFont="1" applyBorder="1" applyAlignment="1" applyProtection="1">
      <alignment horizontal="left" vertical="center" wrapText="1" shrinkToFit="1"/>
      <protection locked="0"/>
    </xf>
    <xf numFmtId="0" fontId="2" fillId="0" borderId="14" xfId="0" applyFont="1" applyBorder="1" applyAlignment="1" applyProtection="1">
      <alignment horizontal="center" vertical="center" shrinkToFit="1"/>
      <protection locked="0"/>
    </xf>
    <xf numFmtId="177" fontId="9" fillId="0" borderId="1" xfId="0" applyNumberFormat="1" applyFont="1" applyBorder="1" applyAlignment="1" applyProtection="1">
      <alignment horizontal="right" vertical="center" wrapText="1" shrinkToFit="1"/>
      <protection locked="0"/>
    </xf>
    <xf numFmtId="0" fontId="9" fillId="0" borderId="27" xfId="0" applyFont="1" applyBorder="1" applyAlignment="1" applyProtection="1">
      <alignment horizontal="center" vertical="center" wrapText="1" shrinkToFit="1"/>
      <protection locked="0"/>
    </xf>
    <xf numFmtId="0" fontId="9" fillId="0" borderId="18" xfId="0" applyFont="1" applyBorder="1" applyAlignment="1" applyProtection="1">
      <alignment horizontal="left" vertical="center" wrapText="1" shrinkToFit="1"/>
      <protection locked="0"/>
    </xf>
    <xf numFmtId="0" fontId="9" fillId="0" borderId="18" xfId="0" applyFont="1" applyBorder="1" applyAlignment="1" applyProtection="1">
      <alignment horizontal="center" vertical="center" wrapText="1" shrinkToFit="1"/>
      <protection locked="0"/>
    </xf>
    <xf numFmtId="176" fontId="9" fillId="0" borderId="18" xfId="0" applyNumberFormat="1" applyFont="1" applyBorder="1" applyAlignment="1" applyProtection="1">
      <alignment horizontal="center" vertical="center" wrapText="1" shrinkToFit="1"/>
      <protection locked="0"/>
    </xf>
    <xf numFmtId="177" fontId="9" fillId="0" borderId="18" xfId="0" applyNumberFormat="1" applyFont="1" applyBorder="1" applyAlignment="1" applyProtection="1">
      <alignment horizontal="right" vertical="center" wrapText="1" shrinkToFit="1"/>
      <protection locked="0"/>
    </xf>
    <xf numFmtId="0" fontId="2" fillId="0" borderId="28" xfId="0" applyFont="1" applyBorder="1" applyAlignment="1" applyProtection="1">
      <alignment horizontal="center" vertical="center" shrinkToFit="1"/>
      <protection locked="0"/>
    </xf>
    <xf numFmtId="0" fontId="9" fillId="5" borderId="26" xfId="0" applyFont="1" applyFill="1" applyBorder="1" applyAlignment="1" applyProtection="1">
      <alignment horizontal="center" vertical="center" wrapText="1" shrinkToFit="1"/>
      <protection locked="0"/>
    </xf>
    <xf numFmtId="0" fontId="9" fillId="5" borderId="4" xfId="0" applyFont="1" applyFill="1" applyBorder="1" applyAlignment="1" applyProtection="1">
      <alignment horizontal="left" vertical="center" wrapText="1" shrinkToFit="1"/>
      <protection locked="0"/>
    </xf>
    <xf numFmtId="0" fontId="9" fillId="5" borderId="4" xfId="0" applyFont="1" applyFill="1" applyBorder="1" applyAlignment="1" applyProtection="1">
      <alignment horizontal="center" vertical="center" wrapText="1" shrinkToFit="1"/>
      <protection locked="0"/>
    </xf>
    <xf numFmtId="176" fontId="9" fillId="5" borderId="4" xfId="0" applyNumberFormat="1" applyFont="1" applyFill="1" applyBorder="1" applyAlignment="1" applyProtection="1">
      <alignment horizontal="center" vertical="center" wrapText="1" shrinkToFit="1"/>
      <protection locked="0"/>
    </xf>
    <xf numFmtId="177" fontId="9" fillId="5" borderId="4" xfId="0" applyNumberFormat="1" applyFont="1" applyFill="1" applyBorder="1" applyAlignment="1" applyProtection="1">
      <alignment horizontal="right" vertical="center" wrapText="1" shrinkToFit="1"/>
      <protection locked="0"/>
    </xf>
    <xf numFmtId="0" fontId="2" fillId="5" borderId="15" xfId="0" applyFont="1" applyFill="1" applyBorder="1" applyAlignment="1" applyProtection="1">
      <alignment horizontal="center" vertical="center" shrinkToFit="1"/>
      <protection locked="0"/>
    </xf>
    <xf numFmtId="49" fontId="9" fillId="0" borderId="16" xfId="0" applyNumberFormat="1" applyFont="1" applyBorder="1" applyAlignment="1" applyProtection="1">
      <alignment horizontal="center" vertical="center" shrinkToFit="1"/>
      <protection locked="0"/>
    </xf>
    <xf numFmtId="0" fontId="9" fillId="0" borderId="1" xfId="0" applyFont="1" applyBorder="1" applyAlignment="1">
      <alignment horizontal="left" vertical="center" shrinkToFit="1"/>
    </xf>
    <xf numFmtId="0" fontId="9" fillId="0" borderId="1" xfId="0" applyFont="1" applyBorder="1" applyAlignment="1" applyProtection="1">
      <alignment horizontal="center" vertical="center" shrinkToFit="1"/>
      <protection locked="0"/>
    </xf>
    <xf numFmtId="176" fontId="9" fillId="0" borderId="1" xfId="0" applyNumberFormat="1" applyFont="1" applyBorder="1" applyAlignment="1" applyProtection="1">
      <alignment vertical="center" shrinkToFit="1"/>
      <protection locked="0"/>
    </xf>
    <xf numFmtId="41" fontId="9" fillId="0" borderId="1" xfId="0" applyNumberFormat="1" applyFont="1" applyBorder="1" applyAlignment="1" applyProtection="1">
      <alignment vertical="center" shrinkToFit="1"/>
      <protection locked="0"/>
    </xf>
    <xf numFmtId="0" fontId="2" fillId="0" borderId="14" xfId="0" applyFont="1" applyBorder="1" applyAlignment="1" applyProtection="1">
      <alignment vertical="center" shrinkToFit="1"/>
      <protection locked="0"/>
    </xf>
    <xf numFmtId="0" fontId="9" fillId="0" borderId="1" xfId="0" applyFont="1" applyBorder="1" applyAlignment="1" applyProtection="1">
      <alignment vertical="center" shrinkToFit="1"/>
      <protection locked="0"/>
    </xf>
    <xf numFmtId="0" fontId="9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2" fillId="0" borderId="14" xfId="0" applyFont="1" applyBorder="1" applyAlignment="1" applyProtection="1">
      <alignment vertical="center" wrapText="1" shrinkToFit="1"/>
      <protection locked="0"/>
    </xf>
    <xf numFmtId="49" fontId="9" fillId="0" borderId="27" xfId="0" applyNumberFormat="1" applyFont="1" applyBorder="1" applyAlignment="1" applyProtection="1">
      <alignment horizontal="center" vertical="center" shrinkToFit="1"/>
      <protection locked="0"/>
    </xf>
    <xf numFmtId="41" fontId="9" fillId="0" borderId="18" xfId="0" applyNumberFormat="1" applyFont="1" applyBorder="1" applyAlignment="1" applyProtection="1">
      <alignment vertical="center" shrinkToFit="1"/>
      <protection locked="0"/>
    </xf>
    <xf numFmtId="0" fontId="2" fillId="0" borderId="28" xfId="0" applyFont="1" applyBorder="1" applyAlignment="1" applyProtection="1">
      <alignment vertical="center" shrinkToFit="1"/>
      <protection locked="0"/>
    </xf>
    <xf numFmtId="49" fontId="9" fillId="5" borderId="26" xfId="0" applyNumberFormat="1" applyFont="1" applyFill="1" applyBorder="1" applyAlignment="1" applyProtection="1">
      <alignment horizontal="center" vertical="center" shrinkToFit="1"/>
      <protection locked="0"/>
    </xf>
    <xf numFmtId="49" fontId="9" fillId="5" borderId="4" xfId="0" applyNumberFormat="1" applyFont="1" applyFill="1" applyBorder="1" applyAlignment="1" applyProtection="1">
      <alignment horizontal="left" vertical="center" shrinkToFit="1"/>
      <protection locked="0"/>
    </xf>
    <xf numFmtId="49" fontId="9" fillId="5" borderId="4" xfId="0" applyNumberFormat="1" applyFont="1" applyFill="1" applyBorder="1" applyAlignment="1" applyProtection="1">
      <alignment horizontal="center" vertical="center" shrinkToFit="1"/>
      <protection locked="0"/>
    </xf>
    <xf numFmtId="41" fontId="9" fillId="5" borderId="4" xfId="0" applyNumberFormat="1" applyFont="1" applyFill="1" applyBorder="1" applyAlignment="1" applyProtection="1">
      <alignment vertical="center" shrinkToFit="1"/>
      <protection locked="0"/>
    </xf>
    <xf numFmtId="0" fontId="2" fillId="5" borderId="15" xfId="0" applyFont="1" applyFill="1" applyBorder="1" applyAlignment="1" applyProtection="1">
      <alignment vertical="center" shrinkToFit="1"/>
      <protection locked="0"/>
    </xf>
    <xf numFmtId="0" fontId="9" fillId="0" borderId="1" xfId="0" applyFont="1" applyBorder="1" applyAlignment="1" applyProtection="1">
      <alignment vertical="center" wrapText="1" shrinkToFit="1"/>
      <protection locked="0"/>
    </xf>
    <xf numFmtId="41" fontId="9" fillId="0" borderId="0" xfId="0" applyNumberFormat="1" applyFont="1" applyAlignment="1" applyProtection="1">
      <alignment vertical="center" shrinkToFit="1"/>
      <protection locked="0"/>
    </xf>
    <xf numFmtId="49" fontId="9" fillId="5" borderId="16" xfId="0" applyNumberFormat="1" applyFont="1" applyFill="1" applyBorder="1" applyAlignment="1" applyProtection="1">
      <alignment horizontal="center" vertical="center" shrinkToFit="1"/>
      <protection locked="0"/>
    </xf>
    <xf numFmtId="49" fontId="9" fillId="5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5" borderId="1" xfId="0" applyNumberFormat="1" applyFont="1" applyFill="1" applyBorder="1" applyAlignment="1" applyProtection="1">
      <alignment horizontal="center" vertical="center" shrinkToFit="1"/>
      <protection locked="0"/>
    </xf>
    <xf numFmtId="41" fontId="9" fillId="5" borderId="1" xfId="0" applyNumberFormat="1" applyFont="1" applyFill="1" applyBorder="1" applyAlignment="1" applyProtection="1">
      <alignment vertical="center" shrinkToFit="1"/>
      <protection locked="0"/>
    </xf>
    <xf numFmtId="0" fontId="2" fillId="5" borderId="14" xfId="0" applyFont="1" applyFill="1" applyBorder="1" applyAlignment="1" applyProtection="1">
      <alignment vertical="center" shrinkToFit="1"/>
      <protection locked="0"/>
    </xf>
    <xf numFmtId="41" fontId="9" fillId="0" borderId="0" xfId="0" applyNumberFormat="1" applyFont="1">
      <alignment vertical="center"/>
    </xf>
    <xf numFmtId="0" fontId="9" fillId="0" borderId="16" xfId="0" applyFont="1" applyBorder="1" applyAlignment="1" applyProtection="1">
      <alignment horizontal="center" vertical="center" shrinkToFit="1"/>
      <protection locked="0"/>
    </xf>
    <xf numFmtId="0" fontId="9" fillId="0" borderId="1" xfId="0" applyFont="1" applyBorder="1" applyAlignment="1">
      <alignment vertical="center" wrapText="1" shrinkToFit="1"/>
    </xf>
    <xf numFmtId="0" fontId="9" fillId="0" borderId="27" xfId="0" applyFont="1" applyBorder="1" applyAlignment="1" applyProtection="1">
      <alignment horizontal="center" vertical="center" shrinkToFit="1"/>
      <protection locked="0"/>
    </xf>
    <xf numFmtId="0" fontId="9" fillId="0" borderId="18" xfId="0" applyFont="1" applyBorder="1" applyAlignment="1">
      <alignment vertical="center" wrapText="1" shrinkToFit="1"/>
    </xf>
    <xf numFmtId="0" fontId="9" fillId="0" borderId="18" xfId="0" applyFont="1" applyBorder="1" applyAlignment="1" applyProtection="1">
      <alignment horizontal="center" vertical="center" shrinkToFit="1"/>
      <protection locked="0"/>
    </xf>
    <xf numFmtId="176" fontId="9" fillId="0" borderId="18" xfId="0" applyNumberFormat="1" applyFont="1" applyBorder="1" applyAlignment="1" applyProtection="1">
      <alignment vertical="center" shrinkToFit="1"/>
      <protection locked="0"/>
    </xf>
    <xf numFmtId="41" fontId="9" fillId="0" borderId="2" xfId="0" applyNumberFormat="1" applyFont="1" applyBorder="1" applyAlignment="1" applyProtection="1">
      <alignment vertical="center" shrinkToFit="1"/>
      <protection locked="0"/>
    </xf>
    <xf numFmtId="0" fontId="9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>
      <alignment vertical="center"/>
    </xf>
    <xf numFmtId="10" fontId="11" fillId="0" borderId="1" xfId="0" applyNumberFormat="1" applyFont="1" applyBorder="1">
      <alignment vertical="center"/>
    </xf>
    <xf numFmtId="41" fontId="2" fillId="0" borderId="14" xfId="0" applyNumberFormat="1" applyFont="1" applyBorder="1" applyAlignment="1" applyProtection="1">
      <alignment vertical="center" shrinkToFit="1"/>
      <protection locked="0"/>
    </xf>
    <xf numFmtId="0" fontId="9" fillId="5" borderId="4" xfId="0" applyFont="1" applyFill="1" applyBorder="1" applyAlignment="1" applyProtection="1">
      <alignment horizontal="center" vertical="center" shrinkToFit="1"/>
      <protection locked="0"/>
    </xf>
    <xf numFmtId="176" fontId="9" fillId="5" borderId="4" xfId="0" applyNumberFormat="1" applyFont="1" applyFill="1" applyBorder="1" applyAlignment="1" applyProtection="1">
      <alignment vertical="center" shrinkToFit="1"/>
      <protection locked="0"/>
    </xf>
    <xf numFmtId="0" fontId="12" fillId="0" borderId="1" xfId="0" applyFont="1" applyBorder="1">
      <alignment vertical="center"/>
    </xf>
    <xf numFmtId="0" fontId="11" fillId="0" borderId="1" xfId="0" applyFont="1" applyBorder="1">
      <alignment vertical="center"/>
    </xf>
    <xf numFmtId="179" fontId="11" fillId="0" borderId="1" xfId="0" applyNumberFormat="1" applyFont="1" applyBorder="1">
      <alignment vertical="center"/>
    </xf>
    <xf numFmtId="180" fontId="11" fillId="0" borderId="14" xfId="0" applyNumberFormat="1" applyFont="1" applyBorder="1" applyAlignment="1">
      <alignment horizontal="right" vertical="center"/>
    </xf>
    <xf numFmtId="0" fontId="15" fillId="0" borderId="0" xfId="0" applyFont="1" applyAlignment="1"/>
    <xf numFmtId="49" fontId="9" fillId="0" borderId="29" xfId="0" applyNumberFormat="1" applyFont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 applyProtection="1">
      <alignment horizontal="center" vertical="center" shrinkToFit="1"/>
      <protection locked="0"/>
    </xf>
    <xf numFmtId="0" fontId="2" fillId="0" borderId="30" xfId="0" applyFont="1" applyBorder="1" applyAlignment="1" applyProtection="1">
      <alignment vertical="center" shrinkToFit="1"/>
      <protection locked="0"/>
    </xf>
    <xf numFmtId="49" fontId="9" fillId="5" borderId="27" xfId="0" applyNumberFormat="1" applyFont="1" applyFill="1" applyBorder="1" applyAlignment="1" applyProtection="1">
      <alignment horizontal="center" vertical="center" shrinkToFit="1"/>
      <protection locked="0"/>
    </xf>
    <xf numFmtId="49" fontId="9" fillId="5" borderId="18" xfId="0" applyNumberFormat="1" applyFont="1" applyFill="1" applyBorder="1" applyAlignment="1" applyProtection="1">
      <alignment horizontal="left" vertical="center" shrinkToFit="1"/>
      <protection locked="0"/>
    </xf>
    <xf numFmtId="41" fontId="9" fillId="5" borderId="18" xfId="0" applyNumberFormat="1" applyFont="1" applyFill="1" applyBorder="1" applyAlignment="1" applyProtection="1">
      <alignment vertical="center" shrinkToFit="1"/>
      <protection locked="0"/>
    </xf>
    <xf numFmtId="0" fontId="2" fillId="5" borderId="28" xfId="0" applyFont="1" applyFill="1" applyBorder="1" applyAlignment="1" applyProtection="1">
      <alignment vertical="center" shrinkToFit="1"/>
      <protection locked="0"/>
    </xf>
    <xf numFmtId="49" fontId="9" fillId="5" borderId="31" xfId="0" applyNumberFormat="1" applyFont="1" applyFill="1" applyBorder="1" applyAlignment="1" applyProtection="1">
      <alignment horizontal="center" vertical="center" shrinkToFit="1"/>
      <protection locked="0"/>
    </xf>
    <xf numFmtId="49" fontId="9" fillId="5" borderId="19" xfId="0" applyNumberFormat="1" applyFont="1" applyFill="1" applyBorder="1" applyAlignment="1" applyProtection="1">
      <alignment horizontal="left" vertical="center" shrinkToFit="1"/>
      <protection locked="0"/>
    </xf>
    <xf numFmtId="49" fontId="9" fillId="5" borderId="19" xfId="0" applyNumberFormat="1" applyFont="1" applyFill="1" applyBorder="1" applyAlignment="1" applyProtection="1">
      <alignment horizontal="center" vertical="center" shrinkToFit="1"/>
      <protection locked="0"/>
    </xf>
    <xf numFmtId="41" fontId="9" fillId="5" borderId="19" xfId="0" applyNumberFormat="1" applyFont="1" applyFill="1" applyBorder="1" applyAlignment="1" applyProtection="1">
      <alignment vertical="center" shrinkToFit="1"/>
      <protection locked="0"/>
    </xf>
    <xf numFmtId="0" fontId="2" fillId="5" borderId="32" xfId="0" applyFont="1" applyFill="1" applyBorder="1" applyAlignment="1" applyProtection="1">
      <alignment vertical="center" shrinkToFit="1"/>
      <protection locked="0"/>
    </xf>
    <xf numFmtId="0" fontId="9" fillId="0" borderId="2" xfId="0" applyFont="1" applyBorder="1" applyAlignment="1" applyProtection="1">
      <alignment vertical="center" shrinkToFit="1"/>
      <protection locked="0"/>
    </xf>
    <xf numFmtId="2" fontId="11" fillId="0" borderId="2" xfId="0" applyNumberFormat="1" applyFont="1" applyBorder="1">
      <alignment vertical="center"/>
    </xf>
    <xf numFmtId="49" fontId="11" fillId="0" borderId="2" xfId="0" applyNumberFormat="1" applyFont="1" applyBorder="1" applyAlignment="1">
      <alignment horizontal="right" vertical="center" shrinkToFit="1"/>
    </xf>
    <xf numFmtId="0" fontId="9" fillId="5" borderId="18" xfId="0" applyFont="1" applyFill="1" applyBorder="1" applyAlignment="1" applyProtection="1">
      <alignment horizontal="center" vertical="center" shrinkToFit="1"/>
      <protection locked="0"/>
    </xf>
    <xf numFmtId="176" fontId="9" fillId="5" borderId="18" xfId="0" applyNumberFormat="1" applyFont="1" applyFill="1" applyBorder="1" applyAlignment="1" applyProtection="1">
      <alignment vertical="center" shrinkToFit="1"/>
      <protection locked="0"/>
    </xf>
    <xf numFmtId="0" fontId="9" fillId="0" borderId="16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left" vertical="center" wrapText="1"/>
    </xf>
    <xf numFmtId="10" fontId="9" fillId="0" borderId="1" xfId="0" applyNumberFormat="1" applyFont="1" applyBorder="1" applyAlignment="1">
      <alignment horizontal="right" vertical="center"/>
    </xf>
    <xf numFmtId="180" fontId="9" fillId="0" borderId="1" xfId="0" applyNumberFormat="1" applyFont="1" applyBorder="1">
      <alignment vertical="center"/>
    </xf>
    <xf numFmtId="180" fontId="9" fillId="0" borderId="14" xfId="0" applyNumberFormat="1" applyFont="1" applyBorder="1">
      <alignment vertical="center"/>
    </xf>
    <xf numFmtId="0" fontId="9" fillId="0" borderId="0" xfId="0" applyFont="1" applyAlignment="1"/>
    <xf numFmtId="10" fontId="9" fillId="0" borderId="1" xfId="0" applyNumberFormat="1" applyFont="1" applyBorder="1">
      <alignment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10" fontId="9" fillId="2" borderId="1" xfId="0" applyNumberFormat="1" applyFont="1" applyFill="1" applyBorder="1" applyAlignment="1">
      <alignment horizontal="right" vertical="center"/>
    </xf>
    <xf numFmtId="41" fontId="9" fillId="2" borderId="1" xfId="0" applyNumberFormat="1" applyFont="1" applyFill="1" applyBorder="1">
      <alignment vertical="center"/>
    </xf>
    <xf numFmtId="180" fontId="9" fillId="2" borderId="14" xfId="0" applyNumberFormat="1" applyFont="1" applyFill="1" applyBorder="1">
      <alignment vertical="center"/>
    </xf>
    <xf numFmtId="0" fontId="10" fillId="6" borderId="19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2" fillId="0" borderId="11" xfId="0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0" fontId="22" fillId="0" borderId="0" xfId="0" applyFont="1">
      <alignment vertical="center"/>
    </xf>
    <xf numFmtId="49" fontId="19" fillId="0" borderId="16" xfId="0" applyNumberFormat="1" applyFont="1" applyBorder="1" applyAlignment="1" applyProtection="1">
      <alignment horizontal="center" vertical="center" shrinkToFit="1"/>
      <protection locked="0"/>
    </xf>
    <xf numFmtId="0" fontId="19" fillId="0" borderId="1" xfId="0" applyFont="1" applyBorder="1" applyAlignment="1" applyProtection="1">
      <alignment vertical="center" wrapText="1" shrinkToFit="1"/>
      <protection locked="0"/>
    </xf>
    <xf numFmtId="0" fontId="19" fillId="0" borderId="1" xfId="0" applyFont="1" applyBorder="1" applyAlignment="1" applyProtection="1">
      <alignment horizontal="center" vertical="center" shrinkToFit="1"/>
      <protection locked="0"/>
    </xf>
    <xf numFmtId="176" fontId="19" fillId="0" borderId="1" xfId="0" applyNumberFormat="1" applyFont="1" applyBorder="1" applyAlignment="1" applyProtection="1">
      <alignment vertical="center" shrinkToFit="1"/>
      <protection locked="0"/>
    </xf>
    <xf numFmtId="41" fontId="19" fillId="0" borderId="1" xfId="0" applyNumberFormat="1" applyFont="1" applyBorder="1" applyAlignment="1" applyProtection="1">
      <alignment vertical="center" shrinkToFit="1"/>
      <protection locked="0"/>
    </xf>
    <xf numFmtId="0" fontId="19" fillId="0" borderId="2" xfId="0" applyFont="1" applyBorder="1" applyAlignment="1">
      <alignment horizontal="left" vertical="center" shrinkToFit="1"/>
    </xf>
    <xf numFmtId="0" fontId="19" fillId="0" borderId="2" xfId="0" applyFont="1" applyBorder="1" applyAlignment="1" applyProtection="1">
      <alignment horizontal="center" vertical="center" shrinkToFit="1"/>
      <protection locked="0"/>
    </xf>
    <xf numFmtId="176" fontId="19" fillId="0" borderId="2" xfId="0" applyNumberFormat="1" applyFont="1" applyBorder="1" applyAlignment="1" applyProtection="1">
      <alignment vertical="center" shrinkToFit="1"/>
      <protection locked="0"/>
    </xf>
    <xf numFmtId="41" fontId="19" fillId="0" borderId="2" xfId="0" applyNumberFormat="1" applyFont="1" applyBorder="1" applyAlignment="1" applyProtection="1">
      <alignment vertical="center" shrinkToFit="1"/>
      <protection locked="0"/>
    </xf>
    <xf numFmtId="0" fontId="23" fillId="0" borderId="14" xfId="0" applyFont="1" applyBorder="1" applyAlignment="1" applyProtection="1">
      <alignment vertical="center" wrapText="1" shrinkToFit="1"/>
      <protection locked="0"/>
    </xf>
    <xf numFmtId="0" fontId="9" fillId="0" borderId="18" xfId="0" applyFont="1" applyBorder="1" applyAlignment="1">
      <alignment vertical="center" wrapText="1"/>
    </xf>
    <xf numFmtId="0" fontId="23" fillId="0" borderId="30" xfId="0" applyFont="1" applyBorder="1" applyAlignment="1" applyProtection="1">
      <alignment horizontal="left" vertical="center" wrapText="1" shrinkToFit="1"/>
      <protection locked="0"/>
    </xf>
    <xf numFmtId="0" fontId="2" fillId="5" borderId="1" xfId="0" applyFont="1" applyFill="1" applyBorder="1" applyAlignment="1" applyProtection="1">
      <alignment vertical="center" shrinkToFit="1"/>
      <protection locked="0"/>
    </xf>
    <xf numFmtId="182" fontId="10" fillId="4" borderId="4" xfId="0" applyNumberFormat="1" applyFont="1" applyFill="1" applyBorder="1" applyAlignment="1">
      <alignment horizontal="center" vertical="center"/>
    </xf>
    <xf numFmtId="9" fontId="12" fillId="0" borderId="5" xfId="0" applyNumberFormat="1" applyFont="1" applyBorder="1" applyAlignment="1">
      <alignment horizontal="left" vertical="center" wrapText="1"/>
    </xf>
    <xf numFmtId="9" fontId="12" fillId="0" borderId="10" xfId="0" applyNumberFormat="1" applyFont="1" applyBorder="1" applyAlignment="1">
      <alignment horizontal="left" vertical="center" wrapText="1"/>
    </xf>
    <xf numFmtId="9" fontId="12" fillId="0" borderId="11" xfId="0" applyNumberFormat="1" applyFont="1" applyBorder="1" applyAlignment="1">
      <alignment horizontal="left" vertical="center" wrapText="1"/>
    </xf>
    <xf numFmtId="0" fontId="18" fillId="5" borderId="36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177" fontId="14" fillId="0" borderId="18" xfId="1" applyNumberFormat="1" applyFont="1" applyBorder="1" applyAlignment="1">
      <alignment horizontal="right" vertical="top"/>
    </xf>
    <xf numFmtId="177" fontId="19" fillId="5" borderId="19" xfId="1" applyNumberFormat="1" applyFont="1" applyFill="1" applyBorder="1" applyAlignment="1">
      <alignment horizontal="right" vertical="top"/>
    </xf>
    <xf numFmtId="0" fontId="10" fillId="4" borderId="4" xfId="0" applyFont="1" applyFill="1" applyBorder="1" applyAlignment="1">
      <alignment horizontal="center" vertical="center"/>
    </xf>
    <xf numFmtId="0" fontId="21" fillId="4" borderId="4" xfId="0" applyFont="1" applyFill="1" applyBorder="1" applyAlignment="1"/>
    <xf numFmtId="0" fontId="12" fillId="2" borderId="5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177" fontId="14" fillId="0" borderId="1" xfId="1" applyNumberFormat="1" applyFont="1" applyBorder="1" applyAlignment="1">
      <alignment horizontal="right" vertical="top"/>
    </xf>
    <xf numFmtId="0" fontId="12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5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11" xfId="0" applyFont="1" applyBorder="1">
      <alignment vertical="center"/>
    </xf>
    <xf numFmtId="177" fontId="14" fillId="0" borderId="1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14" fillId="0" borderId="5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2" fillId="0" borderId="3" xfId="0" applyFont="1" applyBorder="1" applyProtection="1">
      <alignment vertical="center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22" xfId="0" applyFont="1" applyBorder="1" applyAlignment="1" applyProtection="1">
      <alignment horizontal="center" vertical="center" wrapText="1"/>
      <protection locked="0"/>
    </xf>
    <xf numFmtId="0" fontId="13" fillId="0" borderId="16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left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9" fillId="0" borderId="14" xfId="0" applyNumberFormat="1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Protection="1">
      <alignment vertical="center"/>
      <protection locked="0"/>
    </xf>
    <xf numFmtId="0" fontId="10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/>
    <xf numFmtId="182" fontId="10" fillId="4" borderId="24" xfId="0" applyNumberFormat="1" applyFont="1" applyFill="1" applyBorder="1" applyAlignment="1">
      <alignment horizontal="center" vertical="center"/>
    </xf>
    <xf numFmtId="0" fontId="16" fillId="4" borderId="25" xfId="0" applyFont="1" applyFill="1" applyBorder="1" applyAlignment="1"/>
    <xf numFmtId="0" fontId="2" fillId="0" borderId="4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1657-07EB-4CDD-80B0-B037435B4850}">
  <dimension ref="A1:J24"/>
  <sheetViews>
    <sheetView view="pageBreakPreview" topLeftCell="A10" zoomScale="70" zoomScaleNormal="100" zoomScaleSheetLayoutView="70" workbookViewId="0">
      <selection activeCell="P5" sqref="P5"/>
    </sheetView>
  </sheetViews>
  <sheetFormatPr defaultColWidth="8.7265625" defaultRowHeight="19.5"/>
  <cols>
    <col min="1" max="1" width="17.26953125" style="137" bestFit="1" customWidth="1"/>
    <col min="2" max="5" width="8.7265625" style="133"/>
    <col min="6" max="6" width="10.6328125" style="133" customWidth="1"/>
    <col min="7" max="7" width="10.90625" style="137" bestFit="1" customWidth="1"/>
    <col min="8" max="8" width="4.08984375" style="137" customWidth="1"/>
    <col min="9" max="9" width="2.7265625" style="137" customWidth="1"/>
    <col min="10" max="10" width="14.26953125" style="137" customWidth="1"/>
    <col min="11" max="16384" width="8.7265625" style="133"/>
  </cols>
  <sheetData>
    <row r="1" spans="1:10" ht="29.25" customHeight="1">
      <c r="A1" s="180" t="s">
        <v>198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0" ht="37.5" customHeight="1">
      <c r="A2" s="180" t="s">
        <v>105</v>
      </c>
      <c r="B2" s="180"/>
      <c r="C2" s="180"/>
      <c r="D2" s="180"/>
      <c r="E2" s="180"/>
      <c r="F2" s="180"/>
      <c r="G2" s="180"/>
      <c r="H2" s="180"/>
      <c r="I2" s="180"/>
      <c r="J2" s="180"/>
    </row>
    <row r="3" spans="1:10" ht="30" customHeight="1">
      <c r="A3" s="134" t="s">
        <v>91</v>
      </c>
      <c r="B3" s="181" t="s">
        <v>106</v>
      </c>
      <c r="C3" s="181"/>
      <c r="D3" s="181"/>
      <c r="E3" s="181"/>
      <c r="F3" s="181"/>
      <c r="G3" s="134" t="s">
        <v>87</v>
      </c>
      <c r="H3" s="180"/>
      <c r="I3" s="180"/>
      <c r="J3" s="180"/>
    </row>
    <row r="4" spans="1:10" ht="30" customHeight="1">
      <c r="A4" s="134" t="s">
        <v>89</v>
      </c>
      <c r="B4" s="182" t="s">
        <v>88</v>
      </c>
      <c r="C4" s="182"/>
      <c r="D4" s="182"/>
      <c r="E4" s="182"/>
      <c r="F4" s="182"/>
      <c r="G4" s="134" t="s">
        <v>90</v>
      </c>
      <c r="H4" s="180"/>
      <c r="I4" s="180"/>
      <c r="J4" s="180"/>
    </row>
    <row r="5" spans="1:10" ht="23.25" customHeight="1">
      <c r="A5" s="134" t="s">
        <v>51</v>
      </c>
      <c r="B5" s="180" t="s">
        <v>52</v>
      </c>
      <c r="C5" s="180"/>
      <c r="D5" s="180"/>
      <c r="E5" s="180"/>
      <c r="F5" s="180"/>
      <c r="G5" s="180" t="s">
        <v>92</v>
      </c>
      <c r="H5" s="180"/>
      <c r="I5" s="180"/>
      <c r="J5" s="134" t="s">
        <v>93</v>
      </c>
    </row>
    <row r="6" spans="1:10" ht="18" customHeight="1">
      <c r="A6" s="134" t="s">
        <v>240</v>
      </c>
      <c r="B6" s="183" t="s">
        <v>241</v>
      </c>
      <c r="C6" s="184"/>
      <c r="D6" s="184"/>
      <c r="E6" s="184"/>
      <c r="F6" s="185"/>
      <c r="G6" s="186"/>
      <c r="H6" s="186"/>
      <c r="I6" s="186"/>
      <c r="J6" s="134"/>
    </row>
    <row r="7" spans="1:10" ht="18" customHeight="1">
      <c r="A7" s="134" t="s">
        <v>94</v>
      </c>
      <c r="B7" s="183" t="s">
        <v>242</v>
      </c>
      <c r="C7" s="184"/>
      <c r="D7" s="184"/>
      <c r="E7" s="184"/>
      <c r="F7" s="185"/>
      <c r="G7" s="186">
        <f>'300詳細價目表 '!F14</f>
        <v>108200</v>
      </c>
      <c r="H7" s="186"/>
      <c r="I7" s="186"/>
      <c r="J7" s="134"/>
    </row>
    <row r="8" spans="1:10" ht="18" customHeight="1">
      <c r="A8" s="138" t="s">
        <v>213</v>
      </c>
      <c r="B8" s="189" t="s">
        <v>243</v>
      </c>
      <c r="C8" s="189"/>
      <c r="D8" s="189"/>
      <c r="E8" s="189"/>
      <c r="F8" s="189"/>
      <c r="G8" s="178">
        <f>'300詳細價目表 '!F40</f>
        <v>255010</v>
      </c>
      <c r="H8" s="178"/>
      <c r="I8" s="178"/>
      <c r="J8" s="134"/>
    </row>
    <row r="9" spans="1:10" ht="18" customHeight="1">
      <c r="A9" s="138" t="s">
        <v>215</v>
      </c>
      <c r="B9" s="189" t="s">
        <v>35</v>
      </c>
      <c r="C9" s="189"/>
      <c r="D9" s="189"/>
      <c r="E9" s="189"/>
      <c r="F9" s="189"/>
      <c r="G9" s="178">
        <f>'300詳細價目表 '!F69</f>
        <v>1681500</v>
      </c>
      <c r="H9" s="178"/>
      <c r="I9" s="178"/>
      <c r="J9" s="134"/>
    </row>
    <row r="10" spans="1:10" ht="18" customHeight="1">
      <c r="A10" s="138" t="s">
        <v>216</v>
      </c>
      <c r="B10" s="189" t="s">
        <v>48</v>
      </c>
      <c r="C10" s="189"/>
      <c r="D10" s="189"/>
      <c r="E10" s="189"/>
      <c r="F10" s="189"/>
      <c r="G10" s="178">
        <f>'300詳細價目表 '!F79</f>
        <v>264210</v>
      </c>
      <c r="H10" s="178"/>
      <c r="I10" s="178"/>
      <c r="J10" s="134"/>
    </row>
    <row r="11" spans="1:10" ht="18" customHeight="1">
      <c r="A11" s="138" t="s">
        <v>217</v>
      </c>
      <c r="B11" s="187" t="s">
        <v>244</v>
      </c>
      <c r="C11" s="187"/>
      <c r="D11" s="187"/>
      <c r="E11" s="187"/>
      <c r="F11" s="187"/>
      <c r="G11" s="178">
        <f>'300詳細價目表 '!F86</f>
        <v>70000</v>
      </c>
      <c r="H11" s="178"/>
      <c r="I11" s="178"/>
      <c r="J11" s="134"/>
    </row>
    <row r="12" spans="1:10" ht="18" customHeight="1">
      <c r="A12" s="138"/>
      <c r="B12" s="188" t="s">
        <v>236</v>
      </c>
      <c r="C12" s="182"/>
      <c r="D12" s="182"/>
      <c r="E12" s="182"/>
      <c r="F12" s="182"/>
      <c r="G12" s="178">
        <f>'300詳細價目表 '!F87</f>
        <v>2378920</v>
      </c>
      <c r="H12" s="178"/>
      <c r="I12" s="178"/>
      <c r="J12" s="134"/>
    </row>
    <row r="13" spans="1:10" ht="18" customHeight="1">
      <c r="A13" s="138" t="s">
        <v>249</v>
      </c>
      <c r="B13" s="182" t="s">
        <v>245</v>
      </c>
      <c r="C13" s="182"/>
      <c r="D13" s="182"/>
      <c r="E13" s="182"/>
      <c r="F13" s="182"/>
      <c r="G13" s="178">
        <f>'300詳細價目表 '!F88</f>
        <v>16652.439999999999</v>
      </c>
      <c r="H13" s="178"/>
      <c r="I13" s="178"/>
      <c r="J13" s="134"/>
    </row>
    <row r="14" spans="1:10" ht="18" customHeight="1">
      <c r="A14" s="138" t="s">
        <v>250</v>
      </c>
      <c r="B14" s="190" t="s">
        <v>246</v>
      </c>
      <c r="C14" s="191"/>
      <c r="D14" s="191"/>
      <c r="E14" s="191"/>
      <c r="F14" s="192"/>
      <c r="G14" s="178">
        <f>'300詳細價目表 '!F89</f>
        <v>166524.40000000002</v>
      </c>
      <c r="H14" s="178"/>
      <c r="I14" s="178"/>
      <c r="J14" s="134"/>
    </row>
    <row r="15" spans="1:10" ht="18" customHeight="1">
      <c r="A15" s="138" t="s">
        <v>251</v>
      </c>
      <c r="B15" s="190" t="s">
        <v>247</v>
      </c>
      <c r="C15" s="191"/>
      <c r="D15" s="191"/>
      <c r="E15" s="191"/>
      <c r="F15" s="192"/>
      <c r="G15" s="178">
        <f>'300詳細價目表 '!F90</f>
        <v>16652.439999999999</v>
      </c>
      <c r="H15" s="178"/>
      <c r="I15" s="178"/>
      <c r="J15" s="134"/>
    </row>
    <row r="16" spans="1:10" ht="18" customHeight="1">
      <c r="A16" s="138" t="s">
        <v>252</v>
      </c>
      <c r="B16" s="190" t="s">
        <v>248</v>
      </c>
      <c r="C16" s="191"/>
      <c r="D16" s="191"/>
      <c r="E16" s="191"/>
      <c r="F16" s="192"/>
      <c r="G16" s="178">
        <f>'300詳細價目表 '!F91</f>
        <v>8326.2199999999993</v>
      </c>
      <c r="H16" s="178"/>
      <c r="I16" s="178"/>
      <c r="J16" s="134"/>
    </row>
    <row r="17" spans="1:10" ht="18" customHeight="1">
      <c r="A17" s="138" t="s">
        <v>253</v>
      </c>
      <c r="B17" s="190" t="s">
        <v>219</v>
      </c>
      <c r="C17" s="191"/>
      <c r="D17" s="191"/>
      <c r="E17" s="191"/>
      <c r="F17" s="192"/>
      <c r="G17" s="178">
        <f>'300詳細價目表 '!F92</f>
        <v>128937.46399999999</v>
      </c>
      <c r="H17" s="178"/>
      <c r="I17" s="178"/>
      <c r="J17" s="134"/>
    </row>
    <row r="18" spans="1:10">
      <c r="A18" s="18" t="s">
        <v>221</v>
      </c>
      <c r="B18" s="166" t="s">
        <v>222</v>
      </c>
      <c r="C18" s="167"/>
      <c r="D18" s="167"/>
      <c r="E18" s="167"/>
      <c r="F18" s="167"/>
      <c r="G18" s="179"/>
      <c r="H18" s="179"/>
      <c r="I18" s="179"/>
      <c r="J18" s="139"/>
    </row>
    <row r="19" spans="1:10" ht="17.149999999999999" customHeight="1">
      <c r="A19" s="18" t="s">
        <v>223</v>
      </c>
      <c r="B19" s="160" t="s">
        <v>239</v>
      </c>
      <c r="C19" s="161"/>
      <c r="D19" s="161"/>
      <c r="E19" s="161"/>
      <c r="F19" s="162"/>
      <c r="G19" s="178">
        <f>'300詳細價目表 '!F96</f>
        <v>71367.599999999991</v>
      </c>
      <c r="H19" s="178"/>
      <c r="I19" s="178"/>
      <c r="J19" s="140"/>
    </row>
    <row r="20" spans="1:10">
      <c r="A20" s="18" t="s">
        <v>212</v>
      </c>
      <c r="B20" s="166" t="s">
        <v>225</v>
      </c>
      <c r="C20" s="167"/>
      <c r="D20" s="167"/>
      <c r="E20" s="167"/>
      <c r="F20" s="193"/>
      <c r="G20" s="178">
        <f>'300詳細價目表 '!F97</f>
        <v>8148.0388920000005</v>
      </c>
      <c r="H20" s="178"/>
      <c r="I20" s="178"/>
      <c r="J20" s="140"/>
    </row>
    <row r="21" spans="1:10">
      <c r="A21" s="141" t="s">
        <v>214</v>
      </c>
      <c r="B21" s="175" t="s">
        <v>226</v>
      </c>
      <c r="C21" s="176"/>
      <c r="D21" s="176"/>
      <c r="E21" s="176"/>
      <c r="F21" s="177"/>
      <c r="G21" s="178">
        <f>'300詳細價目表 '!F98</f>
        <v>204471.12</v>
      </c>
      <c r="H21" s="178"/>
      <c r="I21" s="178"/>
      <c r="J21" s="140"/>
    </row>
    <row r="22" spans="1:10" ht="20" thickBot="1">
      <c r="A22" s="142"/>
      <c r="B22" s="168" t="s">
        <v>227</v>
      </c>
      <c r="C22" s="169"/>
      <c r="D22" s="169"/>
      <c r="E22" s="169"/>
      <c r="F22" s="170"/>
      <c r="G22" s="171">
        <f>'300詳細價目表 '!F99</f>
        <v>283986.75889199995</v>
      </c>
      <c r="H22" s="171"/>
      <c r="I22" s="171"/>
      <c r="J22" s="143"/>
    </row>
    <row r="23" spans="1:10" s="136" customFormat="1" ht="20.5" thickTop="1" thickBot="1">
      <c r="A23" s="131"/>
      <c r="B23" s="131" t="s">
        <v>228</v>
      </c>
      <c r="C23" s="163"/>
      <c r="D23" s="164"/>
      <c r="E23" s="164"/>
      <c r="F23" s="165"/>
      <c r="G23" s="172">
        <f>'300詳細價目表 '!F100</f>
        <v>2999999.7228920003</v>
      </c>
      <c r="H23" s="172"/>
      <c r="I23" s="172"/>
      <c r="J23" s="135"/>
    </row>
    <row r="24" spans="1:10" s="136" customFormat="1" ht="20" thickTop="1">
      <c r="A24" s="173" t="s">
        <v>229</v>
      </c>
      <c r="B24" s="174"/>
      <c r="C24" s="132" t="s">
        <v>230</v>
      </c>
      <c r="D24" s="159" t="s">
        <v>238</v>
      </c>
      <c r="E24" s="159"/>
      <c r="F24" s="159"/>
      <c r="G24" s="159"/>
      <c r="H24" s="159"/>
      <c r="I24" s="159"/>
      <c r="J24" s="159"/>
    </row>
  </sheetData>
  <mergeCells count="46">
    <mergeCell ref="G13:I13"/>
    <mergeCell ref="B13:F13"/>
    <mergeCell ref="B17:F17"/>
    <mergeCell ref="G17:I17"/>
    <mergeCell ref="B20:F20"/>
    <mergeCell ref="G20:I20"/>
    <mergeCell ref="B14:F14"/>
    <mergeCell ref="G14:I14"/>
    <mergeCell ref="B15:F15"/>
    <mergeCell ref="G15:I15"/>
    <mergeCell ref="B16:F16"/>
    <mergeCell ref="G16:I16"/>
    <mergeCell ref="B11:F11"/>
    <mergeCell ref="G11:I11"/>
    <mergeCell ref="B12:F12"/>
    <mergeCell ref="G12:I12"/>
    <mergeCell ref="B8:F8"/>
    <mergeCell ref="G8:I8"/>
    <mergeCell ref="B9:F9"/>
    <mergeCell ref="G9:I9"/>
    <mergeCell ref="B10:F10"/>
    <mergeCell ref="G10:I10"/>
    <mergeCell ref="B5:F5"/>
    <mergeCell ref="G5:I5"/>
    <mergeCell ref="B6:F6"/>
    <mergeCell ref="G6:I6"/>
    <mergeCell ref="B7:F7"/>
    <mergeCell ref="G7:I7"/>
    <mergeCell ref="A1:J1"/>
    <mergeCell ref="A2:J2"/>
    <mergeCell ref="B3:F3"/>
    <mergeCell ref="H3:J3"/>
    <mergeCell ref="B4:F4"/>
    <mergeCell ref="H4:J4"/>
    <mergeCell ref="D24:J24"/>
    <mergeCell ref="B19:F19"/>
    <mergeCell ref="C23:F23"/>
    <mergeCell ref="B18:F18"/>
    <mergeCell ref="B22:F22"/>
    <mergeCell ref="G22:I22"/>
    <mergeCell ref="G23:I23"/>
    <mergeCell ref="A24:B24"/>
    <mergeCell ref="B21:F21"/>
    <mergeCell ref="G21:I21"/>
    <mergeCell ref="G18:I18"/>
    <mergeCell ref="G19:I19"/>
  </mergeCells>
  <phoneticPr fontId="1" type="noConversion"/>
  <pageMargins left="0.70866141732283472" right="0.70866141732283472" top="0.74803149606299213" bottom="0.74803149606299213" header="1.1811023622047245" footer="0.31496062992125984"/>
  <pageSetup paperSize="9" scale="90" orientation="portrait" r:id="rId1"/>
  <headerFooter>
    <oddHeader>&amp;R第 &amp;P 頁，共 &amp;N 頁</oddHeader>
    <oddFooter>&amp;L計算                                    審核</oddFooter>
  </headerFooter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EF3D-244E-45AB-92CB-73B9A0327990}">
  <dimension ref="A1:I119"/>
  <sheetViews>
    <sheetView tabSelected="1" topLeftCell="A96" zoomScaleNormal="100" zoomScaleSheetLayoutView="100" workbookViewId="0">
      <selection activeCell="G55" sqref="G55"/>
    </sheetView>
  </sheetViews>
  <sheetFormatPr defaultRowHeight="16"/>
  <cols>
    <col min="1" max="1" width="11.6328125" style="14" customWidth="1"/>
    <col min="2" max="2" width="50.90625" style="13" customWidth="1"/>
    <col min="3" max="3" width="9.36328125" style="14" customWidth="1"/>
    <col min="4" max="4" width="10.6328125" style="15" customWidth="1"/>
    <col min="5" max="5" width="12.08984375" style="13" customWidth="1"/>
    <col min="6" max="6" width="19.90625" style="13" customWidth="1"/>
    <col min="7" max="7" width="18.90625" style="13" customWidth="1"/>
    <col min="8" max="8" width="9" style="13"/>
    <col min="9" max="9" width="10.90625" style="13" bestFit="1" customWidth="1"/>
    <col min="10" max="249" width="9" style="13"/>
    <col min="250" max="250" width="11.6328125" style="13" customWidth="1"/>
    <col min="251" max="251" width="37.6328125" style="13" customWidth="1"/>
    <col min="252" max="252" width="6.6328125" style="13" customWidth="1"/>
    <col min="253" max="253" width="10.6328125" style="13" customWidth="1"/>
    <col min="254" max="254" width="10.36328125" style="13" customWidth="1"/>
    <col min="255" max="255" width="12.6328125" style="13" customWidth="1"/>
    <col min="256" max="256" width="13.36328125" style="13" customWidth="1"/>
    <col min="257" max="505" width="9" style="13"/>
    <col min="506" max="506" width="11.6328125" style="13" customWidth="1"/>
    <col min="507" max="507" width="37.6328125" style="13" customWidth="1"/>
    <col min="508" max="508" width="6.6328125" style="13" customWidth="1"/>
    <col min="509" max="509" width="10.6328125" style="13" customWidth="1"/>
    <col min="510" max="510" width="10.36328125" style="13" customWidth="1"/>
    <col min="511" max="511" width="12.6328125" style="13" customWidth="1"/>
    <col min="512" max="512" width="13.36328125" style="13" customWidth="1"/>
    <col min="513" max="761" width="9" style="13"/>
    <col min="762" max="762" width="11.6328125" style="13" customWidth="1"/>
    <col min="763" max="763" width="37.6328125" style="13" customWidth="1"/>
    <col min="764" max="764" width="6.6328125" style="13" customWidth="1"/>
    <col min="765" max="765" width="10.6328125" style="13" customWidth="1"/>
    <col min="766" max="766" width="10.36328125" style="13" customWidth="1"/>
    <col min="767" max="767" width="12.6328125" style="13" customWidth="1"/>
    <col min="768" max="768" width="13.36328125" style="13" customWidth="1"/>
    <col min="769" max="1017" width="9" style="13"/>
    <col min="1018" max="1018" width="11.6328125" style="13" customWidth="1"/>
    <col min="1019" max="1019" width="37.6328125" style="13" customWidth="1"/>
    <col min="1020" max="1020" width="6.6328125" style="13" customWidth="1"/>
    <col min="1021" max="1021" width="10.6328125" style="13" customWidth="1"/>
    <col min="1022" max="1022" width="10.36328125" style="13" customWidth="1"/>
    <col min="1023" max="1023" width="12.6328125" style="13" customWidth="1"/>
    <col min="1024" max="1024" width="13.36328125" style="13" customWidth="1"/>
    <col min="1025" max="1273" width="9" style="13"/>
    <col min="1274" max="1274" width="11.6328125" style="13" customWidth="1"/>
    <col min="1275" max="1275" width="37.6328125" style="13" customWidth="1"/>
    <col min="1276" max="1276" width="6.6328125" style="13" customWidth="1"/>
    <col min="1277" max="1277" width="10.6328125" style="13" customWidth="1"/>
    <col min="1278" max="1278" width="10.36328125" style="13" customWidth="1"/>
    <col min="1279" max="1279" width="12.6328125" style="13" customWidth="1"/>
    <col min="1280" max="1280" width="13.36328125" style="13" customWidth="1"/>
    <col min="1281" max="1529" width="9" style="13"/>
    <col min="1530" max="1530" width="11.6328125" style="13" customWidth="1"/>
    <col min="1531" max="1531" width="37.6328125" style="13" customWidth="1"/>
    <col min="1532" max="1532" width="6.6328125" style="13" customWidth="1"/>
    <col min="1533" max="1533" width="10.6328125" style="13" customWidth="1"/>
    <col min="1534" max="1534" width="10.36328125" style="13" customWidth="1"/>
    <col min="1535" max="1535" width="12.6328125" style="13" customWidth="1"/>
    <col min="1536" max="1536" width="13.36328125" style="13" customWidth="1"/>
    <col min="1537" max="1785" width="9" style="13"/>
    <col min="1786" max="1786" width="11.6328125" style="13" customWidth="1"/>
    <col min="1787" max="1787" width="37.6328125" style="13" customWidth="1"/>
    <col min="1788" max="1788" width="6.6328125" style="13" customWidth="1"/>
    <col min="1789" max="1789" width="10.6328125" style="13" customWidth="1"/>
    <col min="1790" max="1790" width="10.36328125" style="13" customWidth="1"/>
    <col min="1791" max="1791" width="12.6328125" style="13" customWidth="1"/>
    <col min="1792" max="1792" width="13.36328125" style="13" customWidth="1"/>
    <col min="1793" max="2041" width="9" style="13"/>
    <col min="2042" max="2042" width="11.6328125" style="13" customWidth="1"/>
    <col min="2043" max="2043" width="37.6328125" style="13" customWidth="1"/>
    <col min="2044" max="2044" width="6.6328125" style="13" customWidth="1"/>
    <col min="2045" max="2045" width="10.6328125" style="13" customWidth="1"/>
    <col min="2046" max="2046" width="10.36328125" style="13" customWidth="1"/>
    <col min="2047" max="2047" width="12.6328125" style="13" customWidth="1"/>
    <col min="2048" max="2048" width="13.36328125" style="13" customWidth="1"/>
    <col min="2049" max="2297" width="9" style="13"/>
    <col min="2298" max="2298" width="11.6328125" style="13" customWidth="1"/>
    <col min="2299" max="2299" width="37.6328125" style="13" customWidth="1"/>
    <col min="2300" max="2300" width="6.6328125" style="13" customWidth="1"/>
    <col min="2301" max="2301" width="10.6328125" style="13" customWidth="1"/>
    <col min="2302" max="2302" width="10.36328125" style="13" customWidth="1"/>
    <col min="2303" max="2303" width="12.6328125" style="13" customWidth="1"/>
    <col min="2304" max="2304" width="13.36328125" style="13" customWidth="1"/>
    <col min="2305" max="2553" width="9" style="13"/>
    <col min="2554" max="2554" width="11.6328125" style="13" customWidth="1"/>
    <col min="2555" max="2555" width="37.6328125" style="13" customWidth="1"/>
    <col min="2556" max="2556" width="6.6328125" style="13" customWidth="1"/>
    <col min="2557" max="2557" width="10.6328125" style="13" customWidth="1"/>
    <col min="2558" max="2558" width="10.36328125" style="13" customWidth="1"/>
    <col min="2559" max="2559" width="12.6328125" style="13" customWidth="1"/>
    <col min="2560" max="2560" width="13.36328125" style="13" customWidth="1"/>
    <col min="2561" max="2809" width="9" style="13"/>
    <col min="2810" max="2810" width="11.6328125" style="13" customWidth="1"/>
    <col min="2811" max="2811" width="37.6328125" style="13" customWidth="1"/>
    <col min="2812" max="2812" width="6.6328125" style="13" customWidth="1"/>
    <col min="2813" max="2813" width="10.6328125" style="13" customWidth="1"/>
    <col min="2814" max="2814" width="10.36328125" style="13" customWidth="1"/>
    <col min="2815" max="2815" width="12.6328125" style="13" customWidth="1"/>
    <col min="2816" max="2816" width="13.36328125" style="13" customWidth="1"/>
    <col min="2817" max="3065" width="9" style="13"/>
    <col min="3066" max="3066" width="11.6328125" style="13" customWidth="1"/>
    <col min="3067" max="3067" width="37.6328125" style="13" customWidth="1"/>
    <col min="3068" max="3068" width="6.6328125" style="13" customWidth="1"/>
    <col min="3069" max="3069" width="10.6328125" style="13" customWidth="1"/>
    <col min="3070" max="3070" width="10.36328125" style="13" customWidth="1"/>
    <col min="3071" max="3071" width="12.6328125" style="13" customWidth="1"/>
    <col min="3072" max="3072" width="13.36328125" style="13" customWidth="1"/>
    <col min="3073" max="3321" width="9" style="13"/>
    <col min="3322" max="3322" width="11.6328125" style="13" customWidth="1"/>
    <col min="3323" max="3323" width="37.6328125" style="13" customWidth="1"/>
    <col min="3324" max="3324" width="6.6328125" style="13" customWidth="1"/>
    <col min="3325" max="3325" width="10.6328125" style="13" customWidth="1"/>
    <col min="3326" max="3326" width="10.36328125" style="13" customWidth="1"/>
    <col min="3327" max="3327" width="12.6328125" style="13" customWidth="1"/>
    <col min="3328" max="3328" width="13.36328125" style="13" customWidth="1"/>
    <col min="3329" max="3577" width="9" style="13"/>
    <col min="3578" max="3578" width="11.6328125" style="13" customWidth="1"/>
    <col min="3579" max="3579" width="37.6328125" style="13" customWidth="1"/>
    <col min="3580" max="3580" width="6.6328125" style="13" customWidth="1"/>
    <col min="3581" max="3581" width="10.6328125" style="13" customWidth="1"/>
    <col min="3582" max="3582" width="10.36328125" style="13" customWidth="1"/>
    <col min="3583" max="3583" width="12.6328125" style="13" customWidth="1"/>
    <col min="3584" max="3584" width="13.36328125" style="13" customWidth="1"/>
    <col min="3585" max="3833" width="9" style="13"/>
    <col min="3834" max="3834" width="11.6328125" style="13" customWidth="1"/>
    <col min="3835" max="3835" width="37.6328125" style="13" customWidth="1"/>
    <col min="3836" max="3836" width="6.6328125" style="13" customWidth="1"/>
    <col min="3837" max="3837" width="10.6328125" style="13" customWidth="1"/>
    <col min="3838" max="3838" width="10.36328125" style="13" customWidth="1"/>
    <col min="3839" max="3839" width="12.6328125" style="13" customWidth="1"/>
    <col min="3840" max="3840" width="13.36328125" style="13" customWidth="1"/>
    <col min="3841" max="4089" width="9" style="13"/>
    <col min="4090" max="4090" width="11.6328125" style="13" customWidth="1"/>
    <col min="4091" max="4091" width="37.6328125" style="13" customWidth="1"/>
    <col min="4092" max="4092" width="6.6328125" style="13" customWidth="1"/>
    <col min="4093" max="4093" width="10.6328125" style="13" customWidth="1"/>
    <col min="4094" max="4094" width="10.36328125" style="13" customWidth="1"/>
    <col min="4095" max="4095" width="12.6328125" style="13" customWidth="1"/>
    <col min="4096" max="4096" width="13.36328125" style="13" customWidth="1"/>
    <col min="4097" max="4345" width="9" style="13"/>
    <col min="4346" max="4346" width="11.6328125" style="13" customWidth="1"/>
    <col min="4347" max="4347" width="37.6328125" style="13" customWidth="1"/>
    <col min="4348" max="4348" width="6.6328125" style="13" customWidth="1"/>
    <col min="4349" max="4349" width="10.6328125" style="13" customWidth="1"/>
    <col min="4350" max="4350" width="10.36328125" style="13" customWidth="1"/>
    <col min="4351" max="4351" width="12.6328125" style="13" customWidth="1"/>
    <col min="4352" max="4352" width="13.36328125" style="13" customWidth="1"/>
    <col min="4353" max="4601" width="9" style="13"/>
    <col min="4602" max="4602" width="11.6328125" style="13" customWidth="1"/>
    <col min="4603" max="4603" width="37.6328125" style="13" customWidth="1"/>
    <col min="4604" max="4604" width="6.6328125" style="13" customWidth="1"/>
    <col min="4605" max="4605" width="10.6328125" style="13" customWidth="1"/>
    <col min="4606" max="4606" width="10.36328125" style="13" customWidth="1"/>
    <col min="4607" max="4607" width="12.6328125" style="13" customWidth="1"/>
    <col min="4608" max="4608" width="13.36328125" style="13" customWidth="1"/>
    <col min="4609" max="4857" width="9" style="13"/>
    <col min="4858" max="4858" width="11.6328125" style="13" customWidth="1"/>
    <col min="4859" max="4859" width="37.6328125" style="13" customWidth="1"/>
    <col min="4860" max="4860" width="6.6328125" style="13" customWidth="1"/>
    <col min="4861" max="4861" width="10.6328125" style="13" customWidth="1"/>
    <col min="4862" max="4862" width="10.36328125" style="13" customWidth="1"/>
    <col min="4863" max="4863" width="12.6328125" style="13" customWidth="1"/>
    <col min="4864" max="4864" width="13.36328125" style="13" customWidth="1"/>
    <col min="4865" max="5113" width="9" style="13"/>
    <col min="5114" max="5114" width="11.6328125" style="13" customWidth="1"/>
    <col min="5115" max="5115" width="37.6328125" style="13" customWidth="1"/>
    <col min="5116" max="5116" width="6.6328125" style="13" customWidth="1"/>
    <col min="5117" max="5117" width="10.6328125" style="13" customWidth="1"/>
    <col min="5118" max="5118" width="10.36328125" style="13" customWidth="1"/>
    <col min="5119" max="5119" width="12.6328125" style="13" customWidth="1"/>
    <col min="5120" max="5120" width="13.36328125" style="13" customWidth="1"/>
    <col min="5121" max="5369" width="9" style="13"/>
    <col min="5370" max="5370" width="11.6328125" style="13" customWidth="1"/>
    <col min="5371" max="5371" width="37.6328125" style="13" customWidth="1"/>
    <col min="5372" max="5372" width="6.6328125" style="13" customWidth="1"/>
    <col min="5373" max="5373" width="10.6328125" style="13" customWidth="1"/>
    <col min="5374" max="5374" width="10.36328125" style="13" customWidth="1"/>
    <col min="5375" max="5375" width="12.6328125" style="13" customWidth="1"/>
    <col min="5376" max="5376" width="13.36328125" style="13" customWidth="1"/>
    <col min="5377" max="5625" width="9" style="13"/>
    <col min="5626" max="5626" width="11.6328125" style="13" customWidth="1"/>
    <col min="5627" max="5627" width="37.6328125" style="13" customWidth="1"/>
    <col min="5628" max="5628" width="6.6328125" style="13" customWidth="1"/>
    <col min="5629" max="5629" width="10.6328125" style="13" customWidth="1"/>
    <col min="5630" max="5630" width="10.36328125" style="13" customWidth="1"/>
    <col min="5631" max="5631" width="12.6328125" style="13" customWidth="1"/>
    <col min="5632" max="5632" width="13.36328125" style="13" customWidth="1"/>
    <col min="5633" max="5881" width="9" style="13"/>
    <col min="5882" max="5882" width="11.6328125" style="13" customWidth="1"/>
    <col min="5883" max="5883" width="37.6328125" style="13" customWidth="1"/>
    <col min="5884" max="5884" width="6.6328125" style="13" customWidth="1"/>
    <col min="5885" max="5885" width="10.6328125" style="13" customWidth="1"/>
    <col min="5886" max="5886" width="10.36328125" style="13" customWidth="1"/>
    <col min="5887" max="5887" width="12.6328125" style="13" customWidth="1"/>
    <col min="5888" max="5888" width="13.36328125" style="13" customWidth="1"/>
    <col min="5889" max="6137" width="9" style="13"/>
    <col min="6138" max="6138" width="11.6328125" style="13" customWidth="1"/>
    <col min="6139" max="6139" width="37.6328125" style="13" customWidth="1"/>
    <col min="6140" max="6140" width="6.6328125" style="13" customWidth="1"/>
    <col min="6141" max="6141" width="10.6328125" style="13" customWidth="1"/>
    <col min="6142" max="6142" width="10.36328125" style="13" customWidth="1"/>
    <col min="6143" max="6143" width="12.6328125" style="13" customWidth="1"/>
    <col min="6144" max="6144" width="13.36328125" style="13" customWidth="1"/>
    <col min="6145" max="6393" width="9" style="13"/>
    <col min="6394" max="6394" width="11.6328125" style="13" customWidth="1"/>
    <col min="6395" max="6395" width="37.6328125" style="13" customWidth="1"/>
    <col min="6396" max="6396" width="6.6328125" style="13" customWidth="1"/>
    <col min="6397" max="6397" width="10.6328125" style="13" customWidth="1"/>
    <col min="6398" max="6398" width="10.36328125" style="13" customWidth="1"/>
    <col min="6399" max="6399" width="12.6328125" style="13" customWidth="1"/>
    <col min="6400" max="6400" width="13.36328125" style="13" customWidth="1"/>
    <col min="6401" max="6649" width="9" style="13"/>
    <col min="6650" max="6650" width="11.6328125" style="13" customWidth="1"/>
    <col min="6651" max="6651" width="37.6328125" style="13" customWidth="1"/>
    <col min="6652" max="6652" width="6.6328125" style="13" customWidth="1"/>
    <col min="6653" max="6653" width="10.6328125" style="13" customWidth="1"/>
    <col min="6654" max="6654" width="10.36328125" style="13" customWidth="1"/>
    <col min="6655" max="6655" width="12.6328125" style="13" customWidth="1"/>
    <col min="6656" max="6656" width="13.36328125" style="13" customWidth="1"/>
    <col min="6657" max="6905" width="9" style="13"/>
    <col min="6906" max="6906" width="11.6328125" style="13" customWidth="1"/>
    <col min="6907" max="6907" width="37.6328125" style="13" customWidth="1"/>
    <col min="6908" max="6908" width="6.6328125" style="13" customWidth="1"/>
    <col min="6909" max="6909" width="10.6328125" style="13" customWidth="1"/>
    <col min="6910" max="6910" width="10.36328125" style="13" customWidth="1"/>
    <col min="6911" max="6911" width="12.6328125" style="13" customWidth="1"/>
    <col min="6912" max="6912" width="13.36328125" style="13" customWidth="1"/>
    <col min="6913" max="7161" width="9" style="13"/>
    <col min="7162" max="7162" width="11.6328125" style="13" customWidth="1"/>
    <col min="7163" max="7163" width="37.6328125" style="13" customWidth="1"/>
    <col min="7164" max="7164" width="6.6328125" style="13" customWidth="1"/>
    <col min="7165" max="7165" width="10.6328125" style="13" customWidth="1"/>
    <col min="7166" max="7166" width="10.36328125" style="13" customWidth="1"/>
    <col min="7167" max="7167" width="12.6328125" style="13" customWidth="1"/>
    <col min="7168" max="7168" width="13.36328125" style="13" customWidth="1"/>
    <col min="7169" max="7417" width="9" style="13"/>
    <col min="7418" max="7418" width="11.6328125" style="13" customWidth="1"/>
    <col min="7419" max="7419" width="37.6328125" style="13" customWidth="1"/>
    <col min="7420" max="7420" width="6.6328125" style="13" customWidth="1"/>
    <col min="7421" max="7421" width="10.6328125" style="13" customWidth="1"/>
    <col min="7422" max="7422" width="10.36328125" style="13" customWidth="1"/>
    <col min="7423" max="7423" width="12.6328125" style="13" customWidth="1"/>
    <col min="7424" max="7424" width="13.36328125" style="13" customWidth="1"/>
    <col min="7425" max="7673" width="9" style="13"/>
    <col min="7674" max="7674" width="11.6328125" style="13" customWidth="1"/>
    <col min="7675" max="7675" width="37.6328125" style="13" customWidth="1"/>
    <col min="7676" max="7676" width="6.6328125" style="13" customWidth="1"/>
    <col min="7677" max="7677" width="10.6328125" style="13" customWidth="1"/>
    <col min="7678" max="7678" width="10.36328125" style="13" customWidth="1"/>
    <col min="7679" max="7679" width="12.6328125" style="13" customWidth="1"/>
    <col min="7680" max="7680" width="13.36328125" style="13" customWidth="1"/>
    <col min="7681" max="7929" width="9" style="13"/>
    <col min="7930" max="7930" width="11.6328125" style="13" customWidth="1"/>
    <col min="7931" max="7931" width="37.6328125" style="13" customWidth="1"/>
    <col min="7932" max="7932" width="6.6328125" style="13" customWidth="1"/>
    <col min="7933" max="7933" width="10.6328125" style="13" customWidth="1"/>
    <col min="7934" max="7934" width="10.36328125" style="13" customWidth="1"/>
    <col min="7935" max="7935" width="12.6328125" style="13" customWidth="1"/>
    <col min="7936" max="7936" width="13.36328125" style="13" customWidth="1"/>
    <col min="7937" max="8185" width="9" style="13"/>
    <col min="8186" max="8186" width="11.6328125" style="13" customWidth="1"/>
    <col min="8187" max="8187" width="37.6328125" style="13" customWidth="1"/>
    <col min="8188" max="8188" width="6.6328125" style="13" customWidth="1"/>
    <col min="8189" max="8189" width="10.6328125" style="13" customWidth="1"/>
    <col min="8190" max="8190" width="10.36328125" style="13" customWidth="1"/>
    <col min="8191" max="8191" width="12.6328125" style="13" customWidth="1"/>
    <col min="8192" max="8192" width="13.36328125" style="13" customWidth="1"/>
    <col min="8193" max="8441" width="9" style="13"/>
    <col min="8442" max="8442" width="11.6328125" style="13" customWidth="1"/>
    <col min="8443" max="8443" width="37.6328125" style="13" customWidth="1"/>
    <col min="8444" max="8444" width="6.6328125" style="13" customWidth="1"/>
    <col min="8445" max="8445" width="10.6328125" style="13" customWidth="1"/>
    <col min="8446" max="8446" width="10.36328125" style="13" customWidth="1"/>
    <col min="8447" max="8447" width="12.6328125" style="13" customWidth="1"/>
    <col min="8448" max="8448" width="13.36328125" style="13" customWidth="1"/>
    <col min="8449" max="8697" width="9" style="13"/>
    <col min="8698" max="8698" width="11.6328125" style="13" customWidth="1"/>
    <col min="8699" max="8699" width="37.6328125" style="13" customWidth="1"/>
    <col min="8700" max="8700" width="6.6328125" style="13" customWidth="1"/>
    <col min="8701" max="8701" width="10.6328125" style="13" customWidth="1"/>
    <col min="8702" max="8702" width="10.36328125" style="13" customWidth="1"/>
    <col min="8703" max="8703" width="12.6328125" style="13" customWidth="1"/>
    <col min="8704" max="8704" width="13.36328125" style="13" customWidth="1"/>
    <col min="8705" max="8953" width="9" style="13"/>
    <col min="8954" max="8954" width="11.6328125" style="13" customWidth="1"/>
    <col min="8955" max="8955" width="37.6328125" style="13" customWidth="1"/>
    <col min="8956" max="8956" width="6.6328125" style="13" customWidth="1"/>
    <col min="8957" max="8957" width="10.6328125" style="13" customWidth="1"/>
    <col min="8958" max="8958" width="10.36328125" style="13" customWidth="1"/>
    <col min="8959" max="8959" width="12.6328125" style="13" customWidth="1"/>
    <col min="8960" max="8960" width="13.36328125" style="13" customWidth="1"/>
    <col min="8961" max="9209" width="9" style="13"/>
    <col min="9210" max="9210" width="11.6328125" style="13" customWidth="1"/>
    <col min="9211" max="9211" width="37.6328125" style="13" customWidth="1"/>
    <col min="9212" max="9212" width="6.6328125" style="13" customWidth="1"/>
    <col min="9213" max="9213" width="10.6328125" style="13" customWidth="1"/>
    <col min="9214" max="9214" width="10.36328125" style="13" customWidth="1"/>
    <col min="9215" max="9215" width="12.6328125" style="13" customWidth="1"/>
    <col min="9216" max="9216" width="13.36328125" style="13" customWidth="1"/>
    <col min="9217" max="9465" width="9" style="13"/>
    <col min="9466" max="9466" width="11.6328125" style="13" customWidth="1"/>
    <col min="9467" max="9467" width="37.6328125" style="13" customWidth="1"/>
    <col min="9468" max="9468" width="6.6328125" style="13" customWidth="1"/>
    <col min="9469" max="9469" width="10.6328125" style="13" customWidth="1"/>
    <col min="9470" max="9470" width="10.36328125" style="13" customWidth="1"/>
    <col min="9471" max="9471" width="12.6328125" style="13" customWidth="1"/>
    <col min="9472" max="9472" width="13.36328125" style="13" customWidth="1"/>
    <col min="9473" max="9721" width="9" style="13"/>
    <col min="9722" max="9722" width="11.6328125" style="13" customWidth="1"/>
    <col min="9723" max="9723" width="37.6328125" style="13" customWidth="1"/>
    <col min="9724" max="9724" width="6.6328125" style="13" customWidth="1"/>
    <col min="9725" max="9725" width="10.6328125" style="13" customWidth="1"/>
    <col min="9726" max="9726" width="10.36328125" style="13" customWidth="1"/>
    <col min="9727" max="9727" width="12.6328125" style="13" customWidth="1"/>
    <col min="9728" max="9728" width="13.36328125" style="13" customWidth="1"/>
    <col min="9729" max="9977" width="9" style="13"/>
    <col min="9978" max="9978" width="11.6328125" style="13" customWidth="1"/>
    <col min="9979" max="9979" width="37.6328125" style="13" customWidth="1"/>
    <col min="9980" max="9980" width="6.6328125" style="13" customWidth="1"/>
    <col min="9981" max="9981" width="10.6328125" style="13" customWidth="1"/>
    <col min="9982" max="9982" width="10.36328125" style="13" customWidth="1"/>
    <col min="9983" max="9983" width="12.6328125" style="13" customWidth="1"/>
    <col min="9984" max="9984" width="13.36328125" style="13" customWidth="1"/>
    <col min="9985" max="10233" width="9" style="13"/>
    <col min="10234" max="10234" width="11.6328125" style="13" customWidth="1"/>
    <col min="10235" max="10235" width="37.6328125" style="13" customWidth="1"/>
    <col min="10236" max="10236" width="6.6328125" style="13" customWidth="1"/>
    <col min="10237" max="10237" width="10.6328125" style="13" customWidth="1"/>
    <col min="10238" max="10238" width="10.36328125" style="13" customWidth="1"/>
    <col min="10239" max="10239" width="12.6328125" style="13" customWidth="1"/>
    <col min="10240" max="10240" width="13.36328125" style="13" customWidth="1"/>
    <col min="10241" max="10489" width="9" style="13"/>
    <col min="10490" max="10490" width="11.6328125" style="13" customWidth="1"/>
    <col min="10491" max="10491" width="37.6328125" style="13" customWidth="1"/>
    <col min="10492" max="10492" width="6.6328125" style="13" customWidth="1"/>
    <col min="10493" max="10493" width="10.6328125" style="13" customWidth="1"/>
    <col min="10494" max="10494" width="10.36328125" style="13" customWidth="1"/>
    <col min="10495" max="10495" width="12.6328125" style="13" customWidth="1"/>
    <col min="10496" max="10496" width="13.36328125" style="13" customWidth="1"/>
    <col min="10497" max="10745" width="9" style="13"/>
    <col min="10746" max="10746" width="11.6328125" style="13" customWidth="1"/>
    <col min="10747" max="10747" width="37.6328125" style="13" customWidth="1"/>
    <col min="10748" max="10748" width="6.6328125" style="13" customWidth="1"/>
    <col min="10749" max="10749" width="10.6328125" style="13" customWidth="1"/>
    <col min="10750" max="10750" width="10.36328125" style="13" customWidth="1"/>
    <col min="10751" max="10751" width="12.6328125" style="13" customWidth="1"/>
    <col min="10752" max="10752" width="13.36328125" style="13" customWidth="1"/>
    <col min="10753" max="11001" width="9" style="13"/>
    <col min="11002" max="11002" width="11.6328125" style="13" customWidth="1"/>
    <col min="11003" max="11003" width="37.6328125" style="13" customWidth="1"/>
    <col min="11004" max="11004" width="6.6328125" style="13" customWidth="1"/>
    <col min="11005" max="11005" width="10.6328125" style="13" customWidth="1"/>
    <col min="11006" max="11006" width="10.36328125" style="13" customWidth="1"/>
    <col min="11007" max="11007" width="12.6328125" style="13" customWidth="1"/>
    <col min="11008" max="11008" width="13.36328125" style="13" customWidth="1"/>
    <col min="11009" max="11257" width="9" style="13"/>
    <col min="11258" max="11258" width="11.6328125" style="13" customWidth="1"/>
    <col min="11259" max="11259" width="37.6328125" style="13" customWidth="1"/>
    <col min="11260" max="11260" width="6.6328125" style="13" customWidth="1"/>
    <col min="11261" max="11261" width="10.6328125" style="13" customWidth="1"/>
    <col min="11262" max="11262" width="10.36328125" style="13" customWidth="1"/>
    <col min="11263" max="11263" width="12.6328125" style="13" customWidth="1"/>
    <col min="11264" max="11264" width="13.36328125" style="13" customWidth="1"/>
    <col min="11265" max="11513" width="9" style="13"/>
    <col min="11514" max="11514" width="11.6328125" style="13" customWidth="1"/>
    <col min="11515" max="11515" width="37.6328125" style="13" customWidth="1"/>
    <col min="11516" max="11516" width="6.6328125" style="13" customWidth="1"/>
    <col min="11517" max="11517" width="10.6328125" style="13" customWidth="1"/>
    <col min="11518" max="11518" width="10.36328125" style="13" customWidth="1"/>
    <col min="11519" max="11519" width="12.6328125" style="13" customWidth="1"/>
    <col min="11520" max="11520" width="13.36328125" style="13" customWidth="1"/>
    <col min="11521" max="11769" width="9" style="13"/>
    <col min="11770" max="11770" width="11.6328125" style="13" customWidth="1"/>
    <col min="11771" max="11771" width="37.6328125" style="13" customWidth="1"/>
    <col min="11772" max="11772" width="6.6328125" style="13" customWidth="1"/>
    <col min="11773" max="11773" width="10.6328125" style="13" customWidth="1"/>
    <col min="11774" max="11774" width="10.36328125" style="13" customWidth="1"/>
    <col min="11775" max="11775" width="12.6328125" style="13" customWidth="1"/>
    <col min="11776" max="11776" width="13.36328125" style="13" customWidth="1"/>
    <col min="11777" max="12025" width="9" style="13"/>
    <col min="12026" max="12026" width="11.6328125" style="13" customWidth="1"/>
    <col min="12027" max="12027" width="37.6328125" style="13" customWidth="1"/>
    <col min="12028" max="12028" width="6.6328125" style="13" customWidth="1"/>
    <col min="12029" max="12029" width="10.6328125" style="13" customWidth="1"/>
    <col min="12030" max="12030" width="10.36328125" style="13" customWidth="1"/>
    <col min="12031" max="12031" width="12.6328125" style="13" customWidth="1"/>
    <col min="12032" max="12032" width="13.36328125" style="13" customWidth="1"/>
    <col min="12033" max="12281" width="9" style="13"/>
    <col min="12282" max="12282" width="11.6328125" style="13" customWidth="1"/>
    <col min="12283" max="12283" width="37.6328125" style="13" customWidth="1"/>
    <col min="12284" max="12284" width="6.6328125" style="13" customWidth="1"/>
    <col min="12285" max="12285" width="10.6328125" style="13" customWidth="1"/>
    <col min="12286" max="12286" width="10.36328125" style="13" customWidth="1"/>
    <col min="12287" max="12287" width="12.6328125" style="13" customWidth="1"/>
    <col min="12288" max="12288" width="13.36328125" style="13" customWidth="1"/>
    <col min="12289" max="12537" width="9" style="13"/>
    <col min="12538" max="12538" width="11.6328125" style="13" customWidth="1"/>
    <col min="12539" max="12539" width="37.6328125" style="13" customWidth="1"/>
    <col min="12540" max="12540" width="6.6328125" style="13" customWidth="1"/>
    <col min="12541" max="12541" width="10.6328125" style="13" customWidth="1"/>
    <col min="12542" max="12542" width="10.36328125" style="13" customWidth="1"/>
    <col min="12543" max="12543" width="12.6328125" style="13" customWidth="1"/>
    <col min="12544" max="12544" width="13.36328125" style="13" customWidth="1"/>
    <col min="12545" max="12793" width="9" style="13"/>
    <col min="12794" max="12794" width="11.6328125" style="13" customWidth="1"/>
    <col min="12795" max="12795" width="37.6328125" style="13" customWidth="1"/>
    <col min="12796" max="12796" width="6.6328125" style="13" customWidth="1"/>
    <col min="12797" max="12797" width="10.6328125" style="13" customWidth="1"/>
    <col min="12798" max="12798" width="10.36328125" style="13" customWidth="1"/>
    <col min="12799" max="12799" width="12.6328125" style="13" customWidth="1"/>
    <col min="12800" max="12800" width="13.36328125" style="13" customWidth="1"/>
    <col min="12801" max="13049" width="9" style="13"/>
    <col min="13050" max="13050" width="11.6328125" style="13" customWidth="1"/>
    <col min="13051" max="13051" width="37.6328125" style="13" customWidth="1"/>
    <col min="13052" max="13052" width="6.6328125" style="13" customWidth="1"/>
    <col min="13053" max="13053" width="10.6328125" style="13" customWidth="1"/>
    <col min="13054" max="13054" width="10.36328125" style="13" customWidth="1"/>
    <col min="13055" max="13055" width="12.6328125" style="13" customWidth="1"/>
    <col min="13056" max="13056" width="13.36328125" style="13" customWidth="1"/>
    <col min="13057" max="13305" width="9" style="13"/>
    <col min="13306" max="13306" width="11.6328125" style="13" customWidth="1"/>
    <col min="13307" max="13307" width="37.6328125" style="13" customWidth="1"/>
    <col min="13308" max="13308" width="6.6328125" style="13" customWidth="1"/>
    <col min="13309" max="13309" width="10.6328125" style="13" customWidth="1"/>
    <col min="13310" max="13310" width="10.36328125" style="13" customWidth="1"/>
    <col min="13311" max="13311" width="12.6328125" style="13" customWidth="1"/>
    <col min="13312" max="13312" width="13.36328125" style="13" customWidth="1"/>
    <col min="13313" max="13561" width="9" style="13"/>
    <col min="13562" max="13562" width="11.6328125" style="13" customWidth="1"/>
    <col min="13563" max="13563" width="37.6328125" style="13" customWidth="1"/>
    <col min="13564" max="13564" width="6.6328125" style="13" customWidth="1"/>
    <col min="13565" max="13565" width="10.6328125" style="13" customWidth="1"/>
    <col min="13566" max="13566" width="10.36328125" style="13" customWidth="1"/>
    <col min="13567" max="13567" width="12.6328125" style="13" customWidth="1"/>
    <col min="13568" max="13568" width="13.36328125" style="13" customWidth="1"/>
    <col min="13569" max="13817" width="9" style="13"/>
    <col min="13818" max="13818" width="11.6328125" style="13" customWidth="1"/>
    <col min="13819" max="13819" width="37.6328125" style="13" customWidth="1"/>
    <col min="13820" max="13820" width="6.6328125" style="13" customWidth="1"/>
    <col min="13821" max="13821" width="10.6328125" style="13" customWidth="1"/>
    <col min="13822" max="13822" width="10.36328125" style="13" customWidth="1"/>
    <col min="13823" max="13823" width="12.6328125" style="13" customWidth="1"/>
    <col min="13824" max="13824" width="13.36328125" style="13" customWidth="1"/>
    <col min="13825" max="14073" width="9" style="13"/>
    <col min="14074" max="14074" width="11.6328125" style="13" customWidth="1"/>
    <col min="14075" max="14075" width="37.6328125" style="13" customWidth="1"/>
    <col min="14076" max="14076" width="6.6328125" style="13" customWidth="1"/>
    <col min="14077" max="14077" width="10.6328125" style="13" customWidth="1"/>
    <col min="14078" max="14078" width="10.36328125" style="13" customWidth="1"/>
    <col min="14079" max="14079" width="12.6328125" style="13" customWidth="1"/>
    <col min="14080" max="14080" width="13.36328125" style="13" customWidth="1"/>
    <col min="14081" max="14329" width="9" style="13"/>
    <col min="14330" max="14330" width="11.6328125" style="13" customWidth="1"/>
    <col min="14331" max="14331" width="37.6328125" style="13" customWidth="1"/>
    <col min="14332" max="14332" width="6.6328125" style="13" customWidth="1"/>
    <col min="14333" max="14333" width="10.6328125" style="13" customWidth="1"/>
    <col min="14334" max="14334" width="10.36328125" style="13" customWidth="1"/>
    <col min="14335" max="14335" width="12.6328125" style="13" customWidth="1"/>
    <col min="14336" max="14336" width="13.36328125" style="13" customWidth="1"/>
    <col min="14337" max="14585" width="9" style="13"/>
    <col min="14586" max="14586" width="11.6328125" style="13" customWidth="1"/>
    <col min="14587" max="14587" width="37.6328125" style="13" customWidth="1"/>
    <col min="14588" max="14588" width="6.6328125" style="13" customWidth="1"/>
    <col min="14589" max="14589" width="10.6328125" style="13" customWidth="1"/>
    <col min="14590" max="14590" width="10.36328125" style="13" customWidth="1"/>
    <col min="14591" max="14591" width="12.6328125" style="13" customWidth="1"/>
    <col min="14592" max="14592" width="13.36328125" style="13" customWidth="1"/>
    <col min="14593" max="14841" width="9" style="13"/>
    <col min="14842" max="14842" width="11.6328125" style="13" customWidth="1"/>
    <col min="14843" max="14843" width="37.6328125" style="13" customWidth="1"/>
    <col min="14844" max="14844" width="6.6328125" style="13" customWidth="1"/>
    <col min="14845" max="14845" width="10.6328125" style="13" customWidth="1"/>
    <col min="14846" max="14846" width="10.36328125" style="13" customWidth="1"/>
    <col min="14847" max="14847" width="12.6328125" style="13" customWidth="1"/>
    <col min="14848" max="14848" width="13.36328125" style="13" customWidth="1"/>
    <col min="14849" max="15097" width="9" style="13"/>
    <col min="15098" max="15098" width="11.6328125" style="13" customWidth="1"/>
    <col min="15099" max="15099" width="37.6328125" style="13" customWidth="1"/>
    <col min="15100" max="15100" width="6.6328125" style="13" customWidth="1"/>
    <col min="15101" max="15101" width="10.6328125" style="13" customWidth="1"/>
    <col min="15102" max="15102" width="10.36328125" style="13" customWidth="1"/>
    <col min="15103" max="15103" width="12.6328125" style="13" customWidth="1"/>
    <col min="15104" max="15104" width="13.36328125" style="13" customWidth="1"/>
    <col min="15105" max="15353" width="9" style="13"/>
    <col min="15354" max="15354" width="11.6328125" style="13" customWidth="1"/>
    <col min="15355" max="15355" width="37.6328125" style="13" customWidth="1"/>
    <col min="15356" max="15356" width="6.6328125" style="13" customWidth="1"/>
    <col min="15357" max="15357" width="10.6328125" style="13" customWidth="1"/>
    <col min="15358" max="15358" width="10.36328125" style="13" customWidth="1"/>
    <col min="15359" max="15359" width="12.6328125" style="13" customWidth="1"/>
    <col min="15360" max="15360" width="13.36328125" style="13" customWidth="1"/>
    <col min="15361" max="15609" width="9" style="13"/>
    <col min="15610" max="15610" width="11.6328125" style="13" customWidth="1"/>
    <col min="15611" max="15611" width="37.6328125" style="13" customWidth="1"/>
    <col min="15612" max="15612" width="6.6328125" style="13" customWidth="1"/>
    <col min="15613" max="15613" width="10.6328125" style="13" customWidth="1"/>
    <col min="15614" max="15614" width="10.36328125" style="13" customWidth="1"/>
    <col min="15615" max="15615" width="12.6328125" style="13" customWidth="1"/>
    <col min="15616" max="15616" width="13.36328125" style="13" customWidth="1"/>
    <col min="15617" max="15865" width="9" style="13"/>
    <col min="15866" max="15866" width="11.6328125" style="13" customWidth="1"/>
    <col min="15867" max="15867" width="37.6328125" style="13" customWidth="1"/>
    <col min="15868" max="15868" width="6.6328125" style="13" customWidth="1"/>
    <col min="15869" max="15869" width="10.6328125" style="13" customWidth="1"/>
    <col min="15870" max="15870" width="10.36328125" style="13" customWidth="1"/>
    <col min="15871" max="15871" width="12.6328125" style="13" customWidth="1"/>
    <col min="15872" max="15872" width="13.36328125" style="13" customWidth="1"/>
    <col min="15873" max="16121" width="9" style="13"/>
    <col min="16122" max="16122" width="11.6328125" style="13" customWidth="1"/>
    <col min="16123" max="16123" width="37.6328125" style="13" customWidth="1"/>
    <col min="16124" max="16124" width="6.6328125" style="13" customWidth="1"/>
    <col min="16125" max="16125" width="10.6328125" style="13" customWidth="1"/>
    <col min="16126" max="16126" width="10.36328125" style="13" customWidth="1"/>
    <col min="16127" max="16127" width="12.6328125" style="13" customWidth="1"/>
    <col min="16128" max="16128" width="13.36328125" style="13" customWidth="1"/>
    <col min="16129" max="16377" width="9" style="13"/>
    <col min="16378" max="16384" width="8.90625" style="13" customWidth="1"/>
  </cols>
  <sheetData>
    <row r="1" spans="1:7" s="34" customFormat="1" ht="20.5">
      <c r="A1" s="195" t="s">
        <v>137</v>
      </c>
      <c r="B1" s="196"/>
      <c r="C1" s="196"/>
      <c r="D1" s="196"/>
      <c r="E1" s="196"/>
      <c r="F1" s="196"/>
      <c r="G1" s="197"/>
    </row>
    <row r="2" spans="1:7" s="34" customFormat="1" ht="20.5">
      <c r="A2" s="198" t="s">
        <v>107</v>
      </c>
      <c r="B2" s="199"/>
      <c r="C2" s="199"/>
      <c r="D2" s="199"/>
      <c r="E2" s="199"/>
      <c r="F2" s="199"/>
      <c r="G2" s="200"/>
    </row>
    <row r="3" spans="1:7" s="34" customFormat="1" ht="18.5">
      <c r="A3" s="35" t="s">
        <v>0</v>
      </c>
      <c r="B3" s="201" t="s">
        <v>106</v>
      </c>
      <c r="C3" s="201"/>
      <c r="D3" s="201"/>
      <c r="E3" s="36" t="s">
        <v>1</v>
      </c>
      <c r="F3" s="202"/>
      <c r="G3" s="203"/>
    </row>
    <row r="4" spans="1:7" s="34" customFormat="1" ht="18.5">
      <c r="A4" s="35" t="s">
        <v>2</v>
      </c>
      <c r="B4" s="201" t="s">
        <v>199</v>
      </c>
      <c r="C4" s="201"/>
      <c r="D4" s="201"/>
      <c r="E4" s="36" t="s">
        <v>3</v>
      </c>
      <c r="F4" s="202"/>
      <c r="G4" s="203"/>
    </row>
    <row r="5" spans="1:7" s="34" customFormat="1" ht="18.5">
      <c r="A5" s="35" t="s">
        <v>4</v>
      </c>
      <c r="B5" s="36" t="s">
        <v>5</v>
      </c>
      <c r="C5" s="36" t="s">
        <v>6</v>
      </c>
      <c r="D5" s="37" t="s">
        <v>7</v>
      </c>
      <c r="E5" s="36" t="s">
        <v>8</v>
      </c>
      <c r="F5" s="36" t="s">
        <v>9</v>
      </c>
      <c r="G5" s="38" t="s">
        <v>10</v>
      </c>
    </row>
    <row r="6" spans="1:7" s="34" customFormat="1" ht="18.5">
      <c r="A6" s="35" t="s">
        <v>13</v>
      </c>
      <c r="B6" s="40" t="s">
        <v>102</v>
      </c>
      <c r="C6" s="36"/>
      <c r="D6" s="37"/>
      <c r="E6" s="36"/>
      <c r="F6" s="36"/>
      <c r="G6" s="41"/>
    </row>
    <row r="7" spans="1:7" s="34" customFormat="1" ht="18.5">
      <c r="A7" s="35" t="s">
        <v>94</v>
      </c>
      <c r="B7" s="40" t="s">
        <v>116</v>
      </c>
      <c r="C7" s="36"/>
      <c r="D7" s="37"/>
      <c r="E7" s="36"/>
      <c r="F7" s="36"/>
      <c r="G7" s="41"/>
    </row>
    <row r="8" spans="1:7" s="34" customFormat="1" ht="18.5">
      <c r="A8" s="35">
        <v>1</v>
      </c>
      <c r="B8" s="40" t="s">
        <v>138</v>
      </c>
      <c r="C8" s="36" t="s">
        <v>19</v>
      </c>
      <c r="D8" s="37">
        <v>1</v>
      </c>
      <c r="E8" s="36">
        <v>16000</v>
      </c>
      <c r="F8" s="42">
        <f>E8*D8</f>
        <v>16000</v>
      </c>
      <c r="G8" s="41"/>
    </row>
    <row r="9" spans="1:7" s="34" customFormat="1" ht="18.5">
      <c r="A9" s="35">
        <v>2</v>
      </c>
      <c r="B9" s="40" t="s">
        <v>139</v>
      </c>
      <c r="C9" s="36" t="s">
        <v>19</v>
      </c>
      <c r="D9" s="37">
        <v>1</v>
      </c>
      <c r="E9" s="36">
        <v>8500</v>
      </c>
      <c r="F9" s="42">
        <f t="shared" ref="F9:F13" si="0">E9*D9</f>
        <v>8500</v>
      </c>
      <c r="G9" s="41"/>
    </row>
    <row r="10" spans="1:7" s="34" customFormat="1" ht="18.5">
      <c r="A10" s="35">
        <v>3</v>
      </c>
      <c r="B10" s="40" t="s">
        <v>140</v>
      </c>
      <c r="C10" s="36" t="s">
        <v>19</v>
      </c>
      <c r="D10" s="37">
        <v>1</v>
      </c>
      <c r="E10" s="36">
        <v>12500</v>
      </c>
      <c r="F10" s="42">
        <f t="shared" si="0"/>
        <v>12500</v>
      </c>
      <c r="G10" s="41"/>
    </row>
    <row r="11" spans="1:7" s="34" customFormat="1" ht="18.5">
      <c r="A11" s="35">
        <v>4</v>
      </c>
      <c r="B11" s="40" t="s">
        <v>141</v>
      </c>
      <c r="C11" s="36" t="s">
        <v>126</v>
      </c>
      <c r="D11" s="37">
        <v>1</v>
      </c>
      <c r="E11" s="36">
        <v>16000</v>
      </c>
      <c r="F11" s="42">
        <f t="shared" si="0"/>
        <v>16000</v>
      </c>
      <c r="G11" s="41"/>
    </row>
    <row r="12" spans="1:7" s="34" customFormat="1" ht="18.5">
      <c r="A12" s="35">
        <v>5</v>
      </c>
      <c r="B12" s="40" t="s">
        <v>142</v>
      </c>
      <c r="C12" s="36" t="s">
        <v>126</v>
      </c>
      <c r="D12" s="37">
        <v>4</v>
      </c>
      <c r="E12" s="36">
        <v>6900</v>
      </c>
      <c r="F12" s="42">
        <f t="shared" si="0"/>
        <v>27600</v>
      </c>
      <c r="G12" s="41"/>
    </row>
    <row r="13" spans="1:7" s="34" customFormat="1" ht="19" thickBot="1">
      <c r="A13" s="43">
        <v>6</v>
      </c>
      <c r="B13" s="44" t="s">
        <v>143</v>
      </c>
      <c r="C13" s="45" t="s">
        <v>126</v>
      </c>
      <c r="D13" s="46">
        <v>4</v>
      </c>
      <c r="E13" s="45">
        <v>6900</v>
      </c>
      <c r="F13" s="47">
        <f t="shared" si="0"/>
        <v>27600</v>
      </c>
      <c r="G13" s="48" t="s">
        <v>179</v>
      </c>
    </row>
    <row r="14" spans="1:7" s="34" customFormat="1" ht="19" thickTop="1">
      <c r="A14" s="49"/>
      <c r="B14" s="50" t="s">
        <v>23</v>
      </c>
      <c r="C14" s="51"/>
      <c r="D14" s="52"/>
      <c r="E14" s="51"/>
      <c r="F14" s="53">
        <f>SUM(F8:F13)</f>
        <v>108200</v>
      </c>
      <c r="G14" s="54"/>
    </row>
    <row r="15" spans="1:7" s="34" customFormat="1" ht="18.5">
      <c r="A15" s="55" t="s">
        <v>95</v>
      </c>
      <c r="B15" s="56" t="s">
        <v>28</v>
      </c>
      <c r="C15" s="57"/>
      <c r="D15" s="58"/>
      <c r="E15" s="59"/>
      <c r="F15" s="59"/>
      <c r="G15" s="60"/>
    </row>
    <row r="16" spans="1:7" s="34" customFormat="1" ht="18.5">
      <c r="A16" s="55" t="s">
        <v>14</v>
      </c>
      <c r="B16" s="56" t="s">
        <v>181</v>
      </c>
      <c r="C16" s="57" t="s">
        <v>123</v>
      </c>
      <c r="D16" s="58">
        <v>1</v>
      </c>
      <c r="E16" s="59">
        <v>4800</v>
      </c>
      <c r="F16" s="59">
        <f>E16*D16</f>
        <v>4800</v>
      </c>
      <c r="G16" s="60"/>
    </row>
    <row r="17" spans="1:7" s="34" customFormat="1" ht="18.5">
      <c r="A17" s="55" t="s">
        <v>15</v>
      </c>
      <c r="B17" s="56" t="s">
        <v>180</v>
      </c>
      <c r="C17" s="57" t="s">
        <v>123</v>
      </c>
      <c r="D17" s="58">
        <v>4</v>
      </c>
      <c r="E17" s="59">
        <v>2700</v>
      </c>
      <c r="F17" s="59">
        <f t="shared" ref="F17:F38" si="1">E17*D17</f>
        <v>10800</v>
      </c>
      <c r="G17" s="60"/>
    </row>
    <row r="18" spans="1:7" s="34" customFormat="1" ht="18.5">
      <c r="A18" s="55" t="s">
        <v>16</v>
      </c>
      <c r="B18" s="61" t="s">
        <v>29</v>
      </c>
      <c r="C18" s="57" t="s">
        <v>11</v>
      </c>
      <c r="D18" s="58">
        <v>6</v>
      </c>
      <c r="E18" s="59">
        <v>1080</v>
      </c>
      <c r="F18" s="59">
        <f t="shared" si="1"/>
        <v>6480</v>
      </c>
      <c r="G18" s="60"/>
    </row>
    <row r="19" spans="1:7" s="34" customFormat="1" ht="18.5">
      <c r="A19" s="55" t="s">
        <v>17</v>
      </c>
      <c r="B19" s="62" t="s">
        <v>30</v>
      </c>
      <c r="C19" s="57" t="s">
        <v>11</v>
      </c>
      <c r="D19" s="58">
        <v>32</v>
      </c>
      <c r="E19" s="59">
        <v>850</v>
      </c>
      <c r="F19" s="59">
        <f t="shared" si="1"/>
        <v>27200</v>
      </c>
      <c r="G19" s="60"/>
    </row>
    <row r="20" spans="1:7" s="34" customFormat="1" ht="18.5">
      <c r="A20" s="55" t="s">
        <v>18</v>
      </c>
      <c r="B20" s="61" t="s">
        <v>117</v>
      </c>
      <c r="C20" s="57" t="s">
        <v>11</v>
      </c>
      <c r="D20" s="58">
        <v>32</v>
      </c>
      <c r="E20" s="59">
        <v>450</v>
      </c>
      <c r="F20" s="59">
        <f t="shared" si="1"/>
        <v>14400</v>
      </c>
      <c r="G20" s="60"/>
    </row>
    <row r="21" spans="1:7" s="34" customFormat="1" ht="18.5">
      <c r="A21" s="55" t="s">
        <v>24</v>
      </c>
      <c r="B21" s="62" t="s">
        <v>177</v>
      </c>
      <c r="C21" s="57" t="s">
        <v>11</v>
      </c>
      <c r="D21" s="58">
        <v>9</v>
      </c>
      <c r="E21" s="59">
        <v>850</v>
      </c>
      <c r="F21" s="59">
        <f t="shared" si="1"/>
        <v>7650</v>
      </c>
      <c r="G21" s="60"/>
    </row>
    <row r="22" spans="1:7" s="34" customFormat="1" ht="18.5">
      <c r="A22" s="55" t="s">
        <v>32</v>
      </c>
      <c r="B22" s="62" t="s">
        <v>178</v>
      </c>
      <c r="C22" s="57" t="s">
        <v>11</v>
      </c>
      <c r="D22" s="58">
        <v>9</v>
      </c>
      <c r="E22" s="59">
        <v>640</v>
      </c>
      <c r="F22" s="59">
        <f t="shared" si="1"/>
        <v>5760</v>
      </c>
      <c r="G22" s="60"/>
    </row>
    <row r="23" spans="1:7" s="34" customFormat="1" ht="18.5">
      <c r="A23" s="55" t="s">
        <v>33</v>
      </c>
      <c r="B23" s="61" t="s">
        <v>133</v>
      </c>
      <c r="C23" s="57" t="s">
        <v>130</v>
      </c>
      <c r="D23" s="58">
        <v>6</v>
      </c>
      <c r="E23" s="59">
        <v>640</v>
      </c>
      <c r="F23" s="59">
        <f t="shared" si="1"/>
        <v>3840</v>
      </c>
      <c r="G23" s="60"/>
    </row>
    <row r="24" spans="1:7" s="34" customFormat="1" ht="18.5">
      <c r="A24" s="55" t="s">
        <v>34</v>
      </c>
      <c r="B24" s="61" t="s">
        <v>128</v>
      </c>
      <c r="C24" s="57" t="s">
        <v>11</v>
      </c>
      <c r="D24" s="58">
        <v>3</v>
      </c>
      <c r="E24" s="59">
        <v>480</v>
      </c>
      <c r="F24" s="59">
        <f t="shared" si="1"/>
        <v>1440</v>
      </c>
      <c r="G24" s="60"/>
    </row>
    <row r="25" spans="1:7" s="34" customFormat="1" ht="18.5">
      <c r="A25" s="55" t="s">
        <v>20</v>
      </c>
      <c r="B25" s="61" t="s">
        <v>129</v>
      </c>
      <c r="C25" s="57" t="s">
        <v>11</v>
      </c>
      <c r="D25" s="58">
        <v>3</v>
      </c>
      <c r="E25" s="59">
        <v>480</v>
      </c>
      <c r="F25" s="59">
        <f t="shared" si="1"/>
        <v>1440</v>
      </c>
      <c r="G25" s="60"/>
    </row>
    <row r="26" spans="1:7" s="34" customFormat="1" ht="18.5">
      <c r="A26" s="55" t="s">
        <v>21</v>
      </c>
      <c r="B26" s="39" t="s">
        <v>31</v>
      </c>
      <c r="C26" s="63" t="s">
        <v>11</v>
      </c>
      <c r="D26" s="64">
        <v>6</v>
      </c>
      <c r="E26" s="59">
        <v>105</v>
      </c>
      <c r="F26" s="59">
        <f t="shared" si="1"/>
        <v>630</v>
      </c>
      <c r="G26" s="60"/>
    </row>
    <row r="27" spans="1:7" s="34" customFormat="1" ht="18.5">
      <c r="A27" s="55" t="s">
        <v>36</v>
      </c>
      <c r="B27" s="65" t="s">
        <v>193</v>
      </c>
      <c r="C27" s="57" t="s">
        <v>194</v>
      </c>
      <c r="D27" s="64">
        <v>1</v>
      </c>
      <c r="E27" s="59">
        <v>3600</v>
      </c>
      <c r="F27" s="59">
        <f t="shared" si="1"/>
        <v>3600</v>
      </c>
      <c r="G27" s="60"/>
    </row>
    <row r="28" spans="1:7" s="34" customFormat="1" ht="18.5">
      <c r="A28" s="55" t="s">
        <v>37</v>
      </c>
      <c r="B28" s="65" t="s">
        <v>195</v>
      </c>
      <c r="C28" s="57" t="s">
        <v>194</v>
      </c>
      <c r="D28" s="64">
        <v>2</v>
      </c>
      <c r="E28" s="59">
        <v>700</v>
      </c>
      <c r="F28" s="59">
        <f t="shared" si="1"/>
        <v>1400</v>
      </c>
      <c r="G28" s="60"/>
    </row>
    <row r="29" spans="1:7" s="34" customFormat="1" ht="18.5">
      <c r="A29" s="55" t="s">
        <v>38</v>
      </c>
      <c r="B29" s="39" t="s">
        <v>118</v>
      </c>
      <c r="C29" s="63" t="s">
        <v>11</v>
      </c>
      <c r="D29" s="64">
        <v>7</v>
      </c>
      <c r="E29" s="59">
        <v>3600</v>
      </c>
      <c r="F29" s="59">
        <f t="shared" si="1"/>
        <v>25200</v>
      </c>
      <c r="G29" s="60"/>
    </row>
    <row r="30" spans="1:7" s="34" customFormat="1" ht="18.5">
      <c r="A30" s="55" t="s">
        <v>39</v>
      </c>
      <c r="B30" s="39" t="s">
        <v>119</v>
      </c>
      <c r="C30" s="63" t="s">
        <v>11</v>
      </c>
      <c r="D30" s="64">
        <v>7</v>
      </c>
      <c r="E30" s="59">
        <v>1900</v>
      </c>
      <c r="F30" s="59">
        <f t="shared" si="1"/>
        <v>13300</v>
      </c>
      <c r="G30" s="60"/>
    </row>
    <row r="31" spans="1:7" s="34" customFormat="1" ht="18.5">
      <c r="A31" s="55" t="s">
        <v>40</v>
      </c>
      <c r="B31" s="39" t="s">
        <v>145</v>
      </c>
      <c r="C31" s="63" t="s">
        <v>124</v>
      </c>
      <c r="D31" s="64">
        <v>1</v>
      </c>
      <c r="E31" s="59">
        <v>6400</v>
      </c>
      <c r="F31" s="59">
        <f t="shared" si="1"/>
        <v>6400</v>
      </c>
      <c r="G31" s="60"/>
    </row>
    <row r="32" spans="1:7" s="34" customFormat="1" ht="18.5">
      <c r="A32" s="55" t="s">
        <v>41</v>
      </c>
      <c r="B32" s="39" t="s">
        <v>148</v>
      </c>
      <c r="C32" s="63" t="s">
        <v>149</v>
      </c>
      <c r="D32" s="64">
        <v>6</v>
      </c>
      <c r="E32" s="59">
        <v>1595</v>
      </c>
      <c r="F32" s="59">
        <f t="shared" si="1"/>
        <v>9570</v>
      </c>
      <c r="G32" s="60"/>
    </row>
    <row r="33" spans="1:9" s="34" customFormat="1" ht="48">
      <c r="A33" s="55" t="s">
        <v>42</v>
      </c>
      <c r="B33" s="39" t="s">
        <v>207</v>
      </c>
      <c r="C33" s="63" t="s">
        <v>124</v>
      </c>
      <c r="D33" s="64">
        <v>2</v>
      </c>
      <c r="E33" s="59">
        <v>2700</v>
      </c>
      <c r="F33" s="59">
        <f t="shared" ref="F33" si="2">E33*D33</f>
        <v>5400</v>
      </c>
      <c r="G33" s="66" t="s">
        <v>208</v>
      </c>
    </row>
    <row r="34" spans="1:9" s="34" customFormat="1" ht="18.5">
      <c r="A34" s="55" t="s">
        <v>43</v>
      </c>
      <c r="B34" s="39" t="s">
        <v>150</v>
      </c>
      <c r="C34" s="63" t="s">
        <v>149</v>
      </c>
      <c r="D34" s="64">
        <v>3</v>
      </c>
      <c r="E34" s="59">
        <v>1620</v>
      </c>
      <c r="F34" s="59">
        <f t="shared" si="1"/>
        <v>4860</v>
      </c>
      <c r="G34" s="60"/>
    </row>
    <row r="35" spans="1:9" s="34" customFormat="1" ht="18.5">
      <c r="A35" s="55" t="s">
        <v>44</v>
      </c>
      <c r="B35" s="39" t="s">
        <v>151</v>
      </c>
      <c r="C35" s="63" t="s">
        <v>149</v>
      </c>
      <c r="D35" s="64">
        <v>1</v>
      </c>
      <c r="E35" s="59">
        <v>1620</v>
      </c>
      <c r="F35" s="59">
        <f t="shared" si="1"/>
        <v>1620</v>
      </c>
      <c r="G35" s="60"/>
    </row>
    <row r="36" spans="1:9" s="34" customFormat="1" ht="18.5">
      <c r="A36" s="55" t="s">
        <v>167</v>
      </c>
      <c r="B36" s="39" t="s">
        <v>152</v>
      </c>
      <c r="C36" s="63" t="s">
        <v>149</v>
      </c>
      <c r="D36" s="64">
        <v>1</v>
      </c>
      <c r="E36" s="59">
        <v>1620</v>
      </c>
      <c r="F36" s="59">
        <f t="shared" si="1"/>
        <v>1620</v>
      </c>
      <c r="G36" s="60"/>
    </row>
    <row r="37" spans="1:9" s="34" customFormat="1" ht="18.5">
      <c r="A37" s="55" t="s">
        <v>168</v>
      </c>
      <c r="B37" s="39" t="s">
        <v>146</v>
      </c>
      <c r="C37" s="63" t="s">
        <v>121</v>
      </c>
      <c r="D37" s="64">
        <v>1</v>
      </c>
      <c r="E37" s="59">
        <v>17000</v>
      </c>
      <c r="F37" s="59">
        <f t="shared" si="1"/>
        <v>17000</v>
      </c>
      <c r="G37" s="60"/>
    </row>
    <row r="38" spans="1:9" s="34" customFormat="1" ht="18.5">
      <c r="A38" s="55" t="s">
        <v>169</v>
      </c>
      <c r="B38" s="39" t="s">
        <v>147</v>
      </c>
      <c r="C38" s="63" t="s">
        <v>124</v>
      </c>
      <c r="D38" s="64">
        <v>14</v>
      </c>
      <c r="E38" s="59">
        <v>5400</v>
      </c>
      <c r="F38" s="59">
        <f t="shared" si="1"/>
        <v>75600</v>
      </c>
      <c r="G38" s="60"/>
    </row>
    <row r="39" spans="1:9" s="145" customFormat="1" ht="32">
      <c r="A39" s="55" t="s">
        <v>170</v>
      </c>
      <c r="B39" s="151" t="s">
        <v>256</v>
      </c>
      <c r="C39" s="152" t="s">
        <v>254</v>
      </c>
      <c r="D39" s="153">
        <v>2</v>
      </c>
      <c r="E39" s="154">
        <v>2500</v>
      </c>
      <c r="F39" s="154">
        <f t="shared" ref="F39" si="3">D39*E39</f>
        <v>5000</v>
      </c>
      <c r="G39" s="157" t="s">
        <v>255</v>
      </c>
      <c r="H39" s="144"/>
    </row>
    <row r="40" spans="1:9" s="34" customFormat="1" ht="18.5">
      <c r="A40" s="79"/>
      <c r="B40" s="78" t="s">
        <v>23</v>
      </c>
      <c r="C40" s="79"/>
      <c r="D40" s="79"/>
      <c r="E40" s="79"/>
      <c r="F40" s="80">
        <f>SUM(F16:F39)</f>
        <v>255010</v>
      </c>
      <c r="G40" s="158"/>
    </row>
    <row r="41" spans="1:9" s="34" customFormat="1" ht="18.5">
      <c r="A41" s="55" t="s">
        <v>96</v>
      </c>
      <c r="B41" s="61" t="s">
        <v>35</v>
      </c>
      <c r="C41" s="57"/>
      <c r="D41" s="58"/>
      <c r="E41" s="59"/>
      <c r="F41" s="59"/>
      <c r="G41" s="60"/>
    </row>
    <row r="42" spans="1:9" s="34" customFormat="1" ht="18.5">
      <c r="A42" s="146" t="s">
        <v>14</v>
      </c>
      <c r="B42" s="147" t="s">
        <v>232</v>
      </c>
      <c r="C42" s="148" t="s">
        <v>131</v>
      </c>
      <c r="D42" s="149">
        <v>1</v>
      </c>
      <c r="E42" s="150">
        <v>256500</v>
      </c>
      <c r="F42" s="150">
        <f>E42*D42</f>
        <v>256500</v>
      </c>
      <c r="G42" s="60"/>
    </row>
    <row r="43" spans="1:9" s="34" customFormat="1" ht="18.5">
      <c r="A43" s="55" t="s">
        <v>144</v>
      </c>
      <c r="B43" s="61" t="s">
        <v>200</v>
      </c>
      <c r="C43" s="57" t="s">
        <v>126</v>
      </c>
      <c r="D43" s="58">
        <v>1</v>
      </c>
      <c r="E43" s="59">
        <v>9000</v>
      </c>
      <c r="F43" s="59">
        <f t="shared" ref="F43:F68" si="4">E43*D43</f>
        <v>9000</v>
      </c>
      <c r="G43" s="60"/>
    </row>
    <row r="44" spans="1:9" s="34" customFormat="1" ht="18.5">
      <c r="A44" s="55" t="s">
        <v>16</v>
      </c>
      <c r="B44" s="61" t="s">
        <v>201</v>
      </c>
      <c r="C44" s="57" t="s">
        <v>126</v>
      </c>
      <c r="D44" s="58">
        <v>1</v>
      </c>
      <c r="E44" s="59">
        <v>105000</v>
      </c>
      <c r="F44" s="59">
        <f t="shared" si="4"/>
        <v>105000</v>
      </c>
      <c r="G44" s="26"/>
    </row>
    <row r="45" spans="1:9" s="34" customFormat="1" ht="18.5">
      <c r="A45" s="55" t="s">
        <v>17</v>
      </c>
      <c r="B45" s="61" t="s">
        <v>202</v>
      </c>
      <c r="C45" s="57" t="s">
        <v>126</v>
      </c>
      <c r="D45" s="58">
        <v>1</v>
      </c>
      <c r="E45" s="59">
        <v>45000</v>
      </c>
      <c r="F45" s="59">
        <f t="shared" si="4"/>
        <v>45000</v>
      </c>
      <c r="G45" s="60"/>
    </row>
    <row r="46" spans="1:9" s="34" customFormat="1" ht="18.5">
      <c r="A46" s="55" t="s">
        <v>18</v>
      </c>
      <c r="B46" s="61" t="s">
        <v>203</v>
      </c>
      <c r="C46" s="57" t="s">
        <v>155</v>
      </c>
      <c r="D46" s="58">
        <v>2</v>
      </c>
      <c r="E46" s="59">
        <v>16000</v>
      </c>
      <c r="F46" s="59">
        <f t="shared" si="4"/>
        <v>32000</v>
      </c>
      <c r="G46" s="60"/>
    </row>
    <row r="47" spans="1:9" s="34" customFormat="1" ht="18.5">
      <c r="A47" s="55" t="s">
        <v>24</v>
      </c>
      <c r="B47" s="61" t="s">
        <v>156</v>
      </c>
      <c r="C47" s="57" t="s">
        <v>154</v>
      </c>
      <c r="D47" s="58">
        <v>20</v>
      </c>
      <c r="E47" s="59">
        <v>1900</v>
      </c>
      <c r="F47" s="59">
        <f t="shared" si="4"/>
        <v>38000</v>
      </c>
      <c r="G47" s="60"/>
    </row>
    <row r="48" spans="1:9" s="34" customFormat="1" ht="18.5">
      <c r="A48" s="55" t="s">
        <v>32</v>
      </c>
      <c r="B48" s="61" t="s">
        <v>157</v>
      </c>
      <c r="C48" s="57" t="s">
        <v>46</v>
      </c>
      <c r="D48" s="58">
        <v>1</v>
      </c>
      <c r="E48" s="59">
        <v>13000</v>
      </c>
      <c r="F48" s="59">
        <f t="shared" si="4"/>
        <v>13000</v>
      </c>
      <c r="G48" s="60"/>
      <c r="H48" s="76"/>
      <c r="I48" s="76"/>
    </row>
    <row r="49" spans="1:9" s="34" customFormat="1" ht="18.5">
      <c r="A49" s="55" t="s">
        <v>33</v>
      </c>
      <c r="B49" s="61" t="s">
        <v>158</v>
      </c>
      <c r="C49" s="57" t="s">
        <v>46</v>
      </c>
      <c r="D49" s="58">
        <v>1</v>
      </c>
      <c r="E49" s="59">
        <v>7000</v>
      </c>
      <c r="F49" s="59">
        <f t="shared" si="4"/>
        <v>7000</v>
      </c>
      <c r="G49" s="60"/>
      <c r="H49" s="76"/>
      <c r="I49" s="76"/>
    </row>
    <row r="50" spans="1:9" s="34" customFormat="1" ht="18.5">
      <c r="A50" s="55" t="s">
        <v>34</v>
      </c>
      <c r="B50" s="61" t="s">
        <v>159</v>
      </c>
      <c r="C50" s="57" t="s">
        <v>46</v>
      </c>
      <c r="D50" s="58">
        <v>1</v>
      </c>
      <c r="E50" s="59">
        <v>9000</v>
      </c>
      <c r="F50" s="59">
        <f t="shared" si="4"/>
        <v>9000</v>
      </c>
      <c r="G50" s="60"/>
      <c r="H50" s="76"/>
      <c r="I50" s="76"/>
    </row>
    <row r="51" spans="1:9" s="34" customFormat="1" ht="18.5">
      <c r="A51" s="55" t="s">
        <v>20</v>
      </c>
      <c r="B51" s="61" t="s">
        <v>160</v>
      </c>
      <c r="C51" s="57" t="s">
        <v>46</v>
      </c>
      <c r="D51" s="58">
        <v>1</v>
      </c>
      <c r="E51" s="59">
        <v>20000</v>
      </c>
      <c r="F51" s="59">
        <f t="shared" si="4"/>
        <v>20000</v>
      </c>
      <c r="G51" s="60"/>
    </row>
    <row r="52" spans="1:9" s="34" customFormat="1" ht="18.5">
      <c r="A52" s="55" t="s">
        <v>21</v>
      </c>
      <c r="B52" s="61" t="s">
        <v>161</v>
      </c>
      <c r="C52" s="57" t="s">
        <v>46</v>
      </c>
      <c r="D52" s="58">
        <v>1</v>
      </c>
      <c r="E52" s="59">
        <v>24000</v>
      </c>
      <c r="F52" s="59">
        <f t="shared" si="4"/>
        <v>24000</v>
      </c>
      <c r="G52" s="60"/>
    </row>
    <row r="53" spans="1:9" s="34" customFormat="1" ht="18.5">
      <c r="A53" s="55" t="s">
        <v>36</v>
      </c>
      <c r="B53" s="75" t="s">
        <v>184</v>
      </c>
      <c r="C53" s="57" t="s">
        <v>46</v>
      </c>
      <c r="D53" s="58">
        <v>4</v>
      </c>
      <c r="E53" s="59">
        <v>7000</v>
      </c>
      <c r="F53" s="59">
        <f t="shared" si="4"/>
        <v>28000</v>
      </c>
      <c r="G53" s="60" t="s">
        <v>172</v>
      </c>
    </row>
    <row r="54" spans="1:9" s="34" customFormat="1" ht="18.5">
      <c r="A54" s="55" t="s">
        <v>37</v>
      </c>
      <c r="B54" s="75" t="s">
        <v>185</v>
      </c>
      <c r="C54" s="57" t="s">
        <v>46</v>
      </c>
      <c r="D54" s="58">
        <v>11</v>
      </c>
      <c r="E54" s="59">
        <v>6500</v>
      </c>
      <c r="F54" s="59">
        <f t="shared" si="4"/>
        <v>71500</v>
      </c>
      <c r="G54" s="60" t="s">
        <v>183</v>
      </c>
    </row>
    <row r="55" spans="1:9" s="34" customFormat="1" ht="32">
      <c r="A55" s="146" t="s">
        <v>38</v>
      </c>
      <c r="B55" s="147" t="s">
        <v>185</v>
      </c>
      <c r="C55" s="148" t="s">
        <v>46</v>
      </c>
      <c r="D55" s="149">
        <v>41</v>
      </c>
      <c r="E55" s="150">
        <v>6500</v>
      </c>
      <c r="F55" s="150">
        <f t="shared" si="4"/>
        <v>266500</v>
      </c>
      <c r="G55" s="155" t="s">
        <v>258</v>
      </c>
    </row>
    <row r="56" spans="1:9" s="34" customFormat="1" ht="18.5">
      <c r="A56" s="55" t="s">
        <v>39</v>
      </c>
      <c r="B56" s="75" t="s">
        <v>186</v>
      </c>
      <c r="C56" s="57" t="s">
        <v>46</v>
      </c>
      <c r="D56" s="58">
        <v>13</v>
      </c>
      <c r="E56" s="59">
        <v>8300</v>
      </c>
      <c r="F56" s="59">
        <f t="shared" si="4"/>
        <v>107900</v>
      </c>
      <c r="G56" s="60" t="s">
        <v>173</v>
      </c>
    </row>
    <row r="57" spans="1:9" s="34" customFormat="1" ht="18.5">
      <c r="A57" s="55" t="s">
        <v>40</v>
      </c>
      <c r="B57" s="75" t="s">
        <v>187</v>
      </c>
      <c r="C57" s="57" t="s">
        <v>46</v>
      </c>
      <c r="D57" s="58">
        <v>1</v>
      </c>
      <c r="E57" s="59">
        <v>7000</v>
      </c>
      <c r="F57" s="59">
        <f t="shared" si="4"/>
        <v>7000</v>
      </c>
      <c r="G57" s="60" t="s">
        <v>172</v>
      </c>
    </row>
    <row r="58" spans="1:9" s="34" customFormat="1" ht="18.5">
      <c r="A58" s="55" t="s">
        <v>41</v>
      </c>
      <c r="B58" s="75" t="s">
        <v>188</v>
      </c>
      <c r="C58" s="57" t="s">
        <v>46</v>
      </c>
      <c r="D58" s="58">
        <v>1</v>
      </c>
      <c r="E58" s="59">
        <v>5000</v>
      </c>
      <c r="F58" s="59">
        <f t="shared" si="4"/>
        <v>5000</v>
      </c>
      <c r="G58" s="60" t="s">
        <v>174</v>
      </c>
    </row>
    <row r="59" spans="1:9" s="34" customFormat="1" ht="18.5">
      <c r="A59" s="55" t="s">
        <v>42</v>
      </c>
      <c r="B59" s="75" t="s">
        <v>189</v>
      </c>
      <c r="C59" s="57" t="s">
        <v>46</v>
      </c>
      <c r="D59" s="58">
        <v>4</v>
      </c>
      <c r="E59" s="59">
        <v>8200</v>
      </c>
      <c r="F59" s="59">
        <f t="shared" si="4"/>
        <v>32800</v>
      </c>
      <c r="G59" s="60" t="s">
        <v>175</v>
      </c>
    </row>
    <row r="60" spans="1:9" s="34" customFormat="1" ht="18.5">
      <c r="A60" s="55" t="s">
        <v>43</v>
      </c>
      <c r="B60" s="75" t="s">
        <v>190</v>
      </c>
      <c r="C60" s="57" t="s">
        <v>46</v>
      </c>
      <c r="D60" s="58">
        <v>1</v>
      </c>
      <c r="E60" s="59">
        <v>3900</v>
      </c>
      <c r="F60" s="59">
        <f t="shared" si="4"/>
        <v>3900</v>
      </c>
      <c r="G60" s="60" t="s">
        <v>175</v>
      </c>
    </row>
    <row r="61" spans="1:9" s="34" customFormat="1" ht="18.5">
      <c r="A61" s="55" t="s">
        <v>44</v>
      </c>
      <c r="B61" s="39" t="s">
        <v>192</v>
      </c>
      <c r="C61" s="57" t="s">
        <v>162</v>
      </c>
      <c r="D61" s="58">
        <v>1</v>
      </c>
      <c r="E61" s="59">
        <v>72000</v>
      </c>
      <c r="F61" s="59">
        <f t="shared" si="4"/>
        <v>72000</v>
      </c>
      <c r="G61" s="60"/>
      <c r="H61" s="76"/>
      <c r="I61" s="76"/>
    </row>
    <row r="62" spans="1:9" s="34" customFormat="1" ht="18.5">
      <c r="A62" s="55" t="s">
        <v>167</v>
      </c>
      <c r="B62" s="39" t="s">
        <v>191</v>
      </c>
      <c r="C62" s="57" t="s">
        <v>162</v>
      </c>
      <c r="D62" s="58">
        <v>1</v>
      </c>
      <c r="E62" s="59">
        <v>52000</v>
      </c>
      <c r="F62" s="59">
        <f t="shared" si="4"/>
        <v>52000</v>
      </c>
      <c r="G62" s="60"/>
      <c r="H62" s="76"/>
      <c r="I62" s="76"/>
    </row>
    <row r="63" spans="1:9" s="34" customFormat="1" ht="18.5">
      <c r="A63" s="55" t="s">
        <v>168</v>
      </c>
      <c r="B63" s="61" t="s">
        <v>163</v>
      </c>
      <c r="C63" s="57" t="s">
        <v>162</v>
      </c>
      <c r="D63" s="58">
        <v>1</v>
      </c>
      <c r="E63" s="59">
        <v>100000</v>
      </c>
      <c r="F63" s="59">
        <f t="shared" si="4"/>
        <v>100000</v>
      </c>
      <c r="G63" s="60"/>
    </row>
    <row r="64" spans="1:9" s="34" customFormat="1" ht="18.5">
      <c r="A64" s="55" t="s">
        <v>169</v>
      </c>
      <c r="B64" s="61" t="s">
        <v>164</v>
      </c>
      <c r="C64" s="57" t="s">
        <v>162</v>
      </c>
      <c r="D64" s="58">
        <v>1</v>
      </c>
      <c r="E64" s="59">
        <v>70000</v>
      </c>
      <c r="F64" s="59">
        <f t="shared" si="4"/>
        <v>70000</v>
      </c>
      <c r="G64" s="60"/>
    </row>
    <row r="65" spans="1:9" s="34" customFormat="1" ht="18.5">
      <c r="A65" s="55" t="s">
        <v>170</v>
      </c>
      <c r="B65" s="61" t="s">
        <v>176</v>
      </c>
      <c r="C65" s="57" t="s">
        <v>204</v>
      </c>
      <c r="D65" s="58">
        <v>9</v>
      </c>
      <c r="E65" s="59">
        <v>5000</v>
      </c>
      <c r="F65" s="59">
        <f t="shared" si="4"/>
        <v>45000</v>
      </c>
      <c r="G65" s="60"/>
    </row>
    <row r="66" spans="1:9" s="34" customFormat="1" ht="18.5">
      <c r="A66" s="55" t="s">
        <v>171</v>
      </c>
      <c r="B66" s="61" t="s">
        <v>132</v>
      </c>
      <c r="C66" s="57" t="s">
        <v>47</v>
      </c>
      <c r="D66" s="58">
        <v>104</v>
      </c>
      <c r="E66" s="59">
        <v>1100</v>
      </c>
      <c r="F66" s="59">
        <f t="shared" si="4"/>
        <v>114400</v>
      </c>
      <c r="G66" s="60"/>
    </row>
    <row r="67" spans="1:9" s="34" customFormat="1" ht="18.5">
      <c r="A67" s="55" t="s">
        <v>196</v>
      </c>
      <c r="B67" s="61" t="s">
        <v>165</v>
      </c>
      <c r="C67" s="57" t="s">
        <v>11</v>
      </c>
      <c r="D67" s="58">
        <v>18</v>
      </c>
      <c r="E67" s="59">
        <v>4000</v>
      </c>
      <c r="F67" s="59">
        <f t="shared" si="4"/>
        <v>72000</v>
      </c>
      <c r="G67" s="60"/>
    </row>
    <row r="68" spans="1:9" s="34" customFormat="1" ht="18.5">
      <c r="A68" s="55" t="s">
        <v>197</v>
      </c>
      <c r="B68" s="61" t="s">
        <v>205</v>
      </c>
      <c r="C68" s="57" t="s">
        <v>47</v>
      </c>
      <c r="D68" s="58">
        <v>50</v>
      </c>
      <c r="E68" s="59">
        <v>1500</v>
      </c>
      <c r="F68" s="59">
        <f t="shared" si="4"/>
        <v>75000</v>
      </c>
      <c r="G68" s="60"/>
    </row>
    <row r="69" spans="1:9" s="34" customFormat="1" ht="18.5">
      <c r="A69" s="77"/>
      <c r="B69" s="78" t="s">
        <v>23</v>
      </c>
      <c r="C69" s="79"/>
      <c r="D69" s="79"/>
      <c r="E69" s="79"/>
      <c r="F69" s="80">
        <f>SUM(F42:F68)</f>
        <v>1681500</v>
      </c>
      <c r="G69" s="81"/>
      <c r="I69" s="82"/>
    </row>
    <row r="70" spans="1:9" s="34" customFormat="1" ht="18.5">
      <c r="A70" s="55" t="s">
        <v>97</v>
      </c>
      <c r="B70" s="61" t="s">
        <v>48</v>
      </c>
      <c r="C70" s="57"/>
      <c r="D70" s="58"/>
      <c r="E70" s="59"/>
      <c r="F70" s="59"/>
      <c r="G70" s="60"/>
    </row>
    <row r="71" spans="1:9" s="34" customFormat="1" ht="18.5">
      <c r="A71" s="83">
        <v>1</v>
      </c>
      <c r="B71" s="56" t="s">
        <v>49</v>
      </c>
      <c r="C71" s="57" t="s">
        <v>45</v>
      </c>
      <c r="D71" s="58">
        <v>2</v>
      </c>
      <c r="E71" s="59">
        <v>3000</v>
      </c>
      <c r="F71" s="59">
        <f>E71*D71</f>
        <v>6000</v>
      </c>
      <c r="G71" s="60"/>
    </row>
    <row r="72" spans="1:9" s="34" customFormat="1" ht="18.5">
      <c r="A72" s="83">
        <v>2</v>
      </c>
      <c r="B72" s="56" t="s">
        <v>125</v>
      </c>
      <c r="C72" s="57" t="s">
        <v>45</v>
      </c>
      <c r="D72" s="58">
        <v>27</v>
      </c>
      <c r="E72" s="59">
        <v>6200</v>
      </c>
      <c r="F72" s="59">
        <f t="shared" ref="F72:F78" si="5">E72*D72</f>
        <v>167400</v>
      </c>
      <c r="G72" s="27"/>
    </row>
    <row r="73" spans="1:9" s="34" customFormat="1" ht="18.5">
      <c r="A73" s="83">
        <v>3</v>
      </c>
      <c r="B73" s="56" t="s">
        <v>257</v>
      </c>
      <c r="C73" s="57" t="s">
        <v>45</v>
      </c>
      <c r="D73" s="58">
        <v>2</v>
      </c>
      <c r="E73" s="59">
        <v>9000</v>
      </c>
      <c r="F73" s="59">
        <f t="shared" si="5"/>
        <v>18000</v>
      </c>
      <c r="G73" s="28"/>
    </row>
    <row r="74" spans="1:9" s="34" customFormat="1" ht="18.5">
      <c r="A74" s="83">
        <v>4</v>
      </c>
      <c r="B74" s="56" t="s">
        <v>166</v>
      </c>
      <c r="C74" s="57" t="s">
        <v>45</v>
      </c>
      <c r="D74" s="58">
        <v>1</v>
      </c>
      <c r="E74" s="59">
        <v>8500</v>
      </c>
      <c r="F74" s="59">
        <f t="shared" si="5"/>
        <v>8500</v>
      </c>
      <c r="G74" s="28"/>
    </row>
    <row r="75" spans="1:9" s="34" customFormat="1" ht="18.5">
      <c r="A75" s="83">
        <v>5</v>
      </c>
      <c r="B75" s="56" t="s">
        <v>127</v>
      </c>
      <c r="C75" s="57" t="s">
        <v>45</v>
      </c>
      <c r="D75" s="58">
        <v>41</v>
      </c>
      <c r="E75" s="59">
        <v>1300</v>
      </c>
      <c r="F75" s="59">
        <f t="shared" si="5"/>
        <v>53300</v>
      </c>
      <c r="G75" s="27"/>
    </row>
    <row r="76" spans="1:9" s="34" customFormat="1" ht="18.5">
      <c r="A76" s="83">
        <v>6</v>
      </c>
      <c r="B76" s="84" t="s">
        <v>122</v>
      </c>
      <c r="C76" s="57" t="s">
        <v>120</v>
      </c>
      <c r="D76" s="58">
        <v>30</v>
      </c>
      <c r="E76" s="59">
        <v>103</v>
      </c>
      <c r="F76" s="59">
        <f t="shared" si="5"/>
        <v>3090</v>
      </c>
      <c r="G76" s="60"/>
    </row>
    <row r="77" spans="1:9" s="34" customFormat="1" ht="18.5">
      <c r="A77" s="83">
        <v>7</v>
      </c>
      <c r="B77" s="84" t="s">
        <v>135</v>
      </c>
      <c r="C77" s="57" t="s">
        <v>134</v>
      </c>
      <c r="D77" s="58">
        <v>5</v>
      </c>
      <c r="E77" s="59">
        <v>1080</v>
      </c>
      <c r="F77" s="59">
        <f t="shared" si="5"/>
        <v>5400</v>
      </c>
      <c r="G77" s="60"/>
    </row>
    <row r="78" spans="1:9" s="34" customFormat="1" ht="19" thickBot="1">
      <c r="A78" s="85">
        <v>8</v>
      </c>
      <c r="B78" s="86" t="s">
        <v>206</v>
      </c>
      <c r="C78" s="87" t="s">
        <v>136</v>
      </c>
      <c r="D78" s="88">
        <v>1</v>
      </c>
      <c r="E78" s="68">
        <v>2520</v>
      </c>
      <c r="F78" s="68">
        <f t="shared" si="5"/>
        <v>2520</v>
      </c>
      <c r="G78" s="69"/>
    </row>
    <row r="79" spans="1:9" s="34" customFormat="1" ht="19" thickTop="1">
      <c r="A79" s="70"/>
      <c r="B79" s="71" t="s">
        <v>23</v>
      </c>
      <c r="C79" s="72"/>
      <c r="D79" s="72"/>
      <c r="E79" s="72"/>
      <c r="F79" s="73">
        <f>SUM(F71:F78)</f>
        <v>264210</v>
      </c>
      <c r="G79" s="74"/>
    </row>
    <row r="80" spans="1:9" s="34" customFormat="1" ht="18.5">
      <c r="A80" s="55" t="s">
        <v>98</v>
      </c>
      <c r="B80" s="61" t="s">
        <v>22</v>
      </c>
      <c r="C80" s="57"/>
      <c r="D80" s="58"/>
      <c r="E80" s="59"/>
      <c r="F80" s="59"/>
      <c r="G80" s="60"/>
    </row>
    <row r="81" spans="1:7" s="34" customFormat="1" ht="18.5">
      <c r="A81" s="55" t="s">
        <v>14</v>
      </c>
      <c r="B81" s="61" t="s">
        <v>182</v>
      </c>
      <c r="C81" s="57" t="s">
        <v>153</v>
      </c>
      <c r="D81" s="58">
        <v>1</v>
      </c>
      <c r="E81" s="59">
        <v>17000</v>
      </c>
      <c r="F81" s="59">
        <f>E81*D81</f>
        <v>17000</v>
      </c>
      <c r="G81" s="60"/>
    </row>
    <row r="82" spans="1:7" s="34" customFormat="1" ht="18.5">
      <c r="A82" s="55" t="s">
        <v>15</v>
      </c>
      <c r="B82" s="61" t="s">
        <v>104</v>
      </c>
      <c r="C82" s="57" t="s">
        <v>11</v>
      </c>
      <c r="D82" s="58">
        <v>1</v>
      </c>
      <c r="E82" s="59">
        <v>7000</v>
      </c>
      <c r="F82" s="59">
        <f t="shared" ref="F82:F84" si="6">E82*D82</f>
        <v>7000</v>
      </c>
      <c r="G82" s="60"/>
    </row>
    <row r="83" spans="1:7" s="34" customFormat="1" ht="18.5">
      <c r="A83" s="55" t="s">
        <v>16</v>
      </c>
      <c r="B83" s="61" t="s">
        <v>25</v>
      </c>
      <c r="C83" s="57" t="s">
        <v>12</v>
      </c>
      <c r="D83" s="58">
        <v>1</v>
      </c>
      <c r="E83" s="59">
        <v>7000</v>
      </c>
      <c r="F83" s="59">
        <f t="shared" si="6"/>
        <v>7000</v>
      </c>
      <c r="G83" s="60"/>
    </row>
    <row r="84" spans="1:7" s="34" customFormat="1" ht="18.5">
      <c r="A84" s="55" t="s">
        <v>17</v>
      </c>
      <c r="B84" s="56" t="s">
        <v>26</v>
      </c>
      <c r="C84" s="90" t="s">
        <v>27</v>
      </c>
      <c r="D84" s="58">
        <v>1</v>
      </c>
      <c r="E84" s="59">
        <v>13000</v>
      </c>
      <c r="F84" s="59">
        <f t="shared" si="6"/>
        <v>13000</v>
      </c>
      <c r="G84" s="60"/>
    </row>
    <row r="85" spans="1:7" s="34" customFormat="1" ht="19" thickBot="1">
      <c r="A85" s="67" t="s">
        <v>18</v>
      </c>
      <c r="B85" s="156" t="s">
        <v>234</v>
      </c>
      <c r="C85" s="87" t="s">
        <v>19</v>
      </c>
      <c r="D85" s="88">
        <v>1</v>
      </c>
      <c r="E85" s="68">
        <v>26000</v>
      </c>
      <c r="F85" s="68">
        <f>E85*D85</f>
        <v>26000</v>
      </c>
      <c r="G85" s="69"/>
    </row>
    <row r="86" spans="1:7" s="34" customFormat="1" ht="19.5" thickTop="1" thickBot="1">
      <c r="A86" s="108"/>
      <c r="B86" s="109" t="s">
        <v>23</v>
      </c>
      <c r="C86" s="110"/>
      <c r="D86" s="110"/>
      <c r="E86" s="110"/>
      <c r="F86" s="111">
        <f>SUM(F81:F85)</f>
        <v>70000</v>
      </c>
      <c r="G86" s="112"/>
    </row>
    <row r="87" spans="1:7" s="34" customFormat="1" ht="19" thickTop="1">
      <c r="A87" s="70"/>
      <c r="B87" s="71" t="s">
        <v>237</v>
      </c>
      <c r="C87" s="72"/>
      <c r="D87" s="72"/>
      <c r="E87" s="72"/>
      <c r="F87" s="73">
        <f>SUM(F86,F79,F69,F40,F14)</f>
        <v>2378920</v>
      </c>
      <c r="G87" s="74"/>
    </row>
    <row r="88" spans="1:7" s="34" customFormat="1" ht="18.5">
      <c r="A88" s="55" t="s">
        <v>99</v>
      </c>
      <c r="B88" s="61" t="s">
        <v>114</v>
      </c>
      <c r="C88" s="57" t="s">
        <v>12</v>
      </c>
      <c r="D88" s="91">
        <v>1</v>
      </c>
      <c r="E88" s="92">
        <v>7.0000000000000001E-3</v>
      </c>
      <c r="F88" s="59">
        <f>SUM(F87)*E88</f>
        <v>16652.439999999999</v>
      </c>
      <c r="G88" s="60" t="s">
        <v>231</v>
      </c>
    </row>
    <row r="89" spans="1:7" s="34" customFormat="1" ht="18.5">
      <c r="A89" s="55" t="s">
        <v>100</v>
      </c>
      <c r="B89" s="61" t="s">
        <v>209</v>
      </c>
      <c r="C89" s="57" t="s">
        <v>12</v>
      </c>
      <c r="D89" s="91">
        <v>1</v>
      </c>
      <c r="E89" s="92">
        <v>7.0000000000000007E-2</v>
      </c>
      <c r="F89" s="59">
        <f>SUM(F87)*E89</f>
        <v>166524.40000000002</v>
      </c>
      <c r="G89" s="60"/>
    </row>
    <row r="90" spans="1:7" s="34" customFormat="1" ht="18.5">
      <c r="A90" s="55" t="s">
        <v>101</v>
      </c>
      <c r="B90" s="61" t="s">
        <v>210</v>
      </c>
      <c r="C90" s="57" t="s">
        <v>12</v>
      </c>
      <c r="D90" s="91">
        <v>1</v>
      </c>
      <c r="E90" s="92">
        <v>7.0000000000000001E-3</v>
      </c>
      <c r="F90" s="59">
        <f>SUM(F87)*E90</f>
        <v>16652.439999999999</v>
      </c>
      <c r="G90" s="60"/>
    </row>
    <row r="91" spans="1:7" s="34" customFormat="1" ht="18.5">
      <c r="A91" s="55" t="s">
        <v>103</v>
      </c>
      <c r="B91" s="61" t="s">
        <v>211</v>
      </c>
      <c r="C91" s="57" t="s">
        <v>12</v>
      </c>
      <c r="D91" s="91">
        <v>1</v>
      </c>
      <c r="E91" s="92">
        <v>3.5000000000000001E-3</v>
      </c>
      <c r="F91" s="59">
        <f>SUM(F87)*E91</f>
        <v>8326.2199999999993</v>
      </c>
      <c r="G91" s="93" t="s">
        <v>233</v>
      </c>
    </row>
    <row r="92" spans="1:7" s="34" customFormat="1" ht="18.5">
      <c r="A92" s="101" t="s">
        <v>218</v>
      </c>
      <c r="B92" s="113" t="s">
        <v>219</v>
      </c>
      <c r="C92" s="102" t="s">
        <v>12</v>
      </c>
      <c r="D92" s="114">
        <v>1</v>
      </c>
      <c r="E92" s="115" t="s">
        <v>220</v>
      </c>
      <c r="F92" s="89">
        <f>SUM(F87,F88:F90)*E92</f>
        <v>128937.46399999999</v>
      </c>
      <c r="G92" s="103"/>
    </row>
    <row r="93" spans="1:7" s="34" customFormat="1" ht="19" thickBot="1">
      <c r="A93" s="104"/>
      <c r="B93" s="105" t="s">
        <v>23</v>
      </c>
      <c r="C93" s="116"/>
      <c r="D93" s="117"/>
      <c r="E93" s="106"/>
      <c r="F93" s="106">
        <f>SUM(F88:F92)</f>
        <v>337092.96400000004</v>
      </c>
      <c r="G93" s="107"/>
    </row>
    <row r="94" spans="1:7" s="34" customFormat="1" ht="19" thickTop="1">
      <c r="A94" s="70"/>
      <c r="B94" s="71" t="s">
        <v>235</v>
      </c>
      <c r="C94" s="94"/>
      <c r="D94" s="95"/>
      <c r="E94" s="73"/>
      <c r="F94" s="73">
        <f>SUM(F87,F93)</f>
        <v>2716012.9640000002</v>
      </c>
      <c r="G94" s="74"/>
    </row>
    <row r="95" spans="1:7" s="100" customFormat="1" ht="18.5">
      <c r="A95" s="29" t="s">
        <v>221</v>
      </c>
      <c r="B95" s="96" t="s">
        <v>222</v>
      </c>
      <c r="C95" s="97"/>
      <c r="D95" s="17"/>
      <c r="E95" s="98"/>
      <c r="F95" s="98"/>
      <c r="G95" s="99"/>
    </row>
    <row r="96" spans="1:7" s="123" customFormat="1" ht="18.5">
      <c r="A96" s="118" t="s">
        <v>223</v>
      </c>
      <c r="B96" s="119" t="s">
        <v>224</v>
      </c>
      <c r="C96" s="63" t="s">
        <v>12</v>
      </c>
      <c r="D96" s="64">
        <v>1</v>
      </c>
      <c r="E96" s="120">
        <v>0.03</v>
      </c>
      <c r="F96" s="121">
        <f>SUM(F87)*E96</f>
        <v>71367.599999999991</v>
      </c>
      <c r="G96" s="122" t="s">
        <v>233</v>
      </c>
    </row>
    <row r="97" spans="1:7" s="123" customFormat="1" ht="18.5">
      <c r="A97" s="118" t="s">
        <v>212</v>
      </c>
      <c r="B97" s="39" t="s">
        <v>225</v>
      </c>
      <c r="C97" s="63" t="s">
        <v>12</v>
      </c>
      <c r="D97" s="64">
        <v>1</v>
      </c>
      <c r="E97" s="124">
        <v>3.0000000000000001E-3</v>
      </c>
      <c r="F97" s="121">
        <f>SUM(F94)*E97</f>
        <v>8148.0388920000005</v>
      </c>
      <c r="G97" s="122"/>
    </row>
    <row r="98" spans="1:7" s="123" customFormat="1" ht="18.5">
      <c r="A98" s="125" t="s">
        <v>214</v>
      </c>
      <c r="B98" s="126" t="s">
        <v>226</v>
      </c>
      <c r="C98" s="127" t="s">
        <v>12</v>
      </c>
      <c r="D98" s="64">
        <v>1</v>
      </c>
      <c r="E98" s="128">
        <v>8.5999999999999993E-2</v>
      </c>
      <c r="F98" s="129">
        <f>SUM(F87)*E98-116</f>
        <v>204471.12</v>
      </c>
      <c r="G98" s="130"/>
    </row>
    <row r="99" spans="1:7" s="100" customFormat="1" ht="18.5">
      <c r="A99" s="29"/>
      <c r="B99" s="19" t="s">
        <v>227</v>
      </c>
      <c r="C99" s="20"/>
      <c r="D99" s="18"/>
      <c r="E99" s="21"/>
      <c r="F99" s="22">
        <f>SUM(F96:F98)</f>
        <v>283986.75889199995</v>
      </c>
      <c r="G99" s="30"/>
    </row>
    <row r="100" spans="1:7" s="100" customFormat="1" ht="18.5">
      <c r="A100" s="31"/>
      <c r="B100" s="23" t="s">
        <v>228</v>
      </c>
      <c r="C100" s="23"/>
      <c r="D100" s="23"/>
      <c r="E100" s="24"/>
      <c r="F100" s="25">
        <f>SUM(F94,F99)</f>
        <v>2999999.7228920003</v>
      </c>
      <c r="G100" s="32"/>
    </row>
    <row r="101" spans="1:7" s="100" customFormat="1" ht="19" thickBot="1">
      <c r="A101" s="205" t="s">
        <v>229</v>
      </c>
      <c r="B101" s="206"/>
      <c r="C101" s="33" t="s">
        <v>230</v>
      </c>
      <c r="D101" s="207" t="s">
        <v>238</v>
      </c>
      <c r="E101" s="206"/>
      <c r="F101" s="206"/>
      <c r="G101" s="208"/>
    </row>
    <row r="102" spans="1:7" ht="18.5">
      <c r="A102" s="204"/>
      <c r="B102" s="204"/>
      <c r="C102" s="204"/>
      <c r="D102" s="204"/>
      <c r="E102" s="204"/>
      <c r="F102" s="204"/>
      <c r="G102" s="204"/>
    </row>
    <row r="103" spans="1:7">
      <c r="A103" s="194"/>
      <c r="B103" s="194"/>
      <c r="C103" s="194"/>
      <c r="D103" s="194"/>
      <c r="E103" s="194"/>
      <c r="F103" s="194"/>
      <c r="G103" s="194"/>
    </row>
    <row r="104" spans="1:7">
      <c r="A104" s="194"/>
      <c r="B104" s="194"/>
      <c r="C104" s="194"/>
      <c r="D104" s="194"/>
      <c r="E104" s="194"/>
      <c r="F104" s="194"/>
      <c r="G104" s="194"/>
    </row>
    <row r="105" spans="1:7">
      <c r="A105" s="194"/>
      <c r="B105" s="194"/>
      <c r="C105" s="194"/>
      <c r="D105" s="194"/>
      <c r="E105" s="194"/>
      <c r="F105" s="194"/>
      <c r="G105" s="194"/>
    </row>
    <row r="106" spans="1:7">
      <c r="A106" s="194"/>
      <c r="B106" s="194"/>
      <c r="C106" s="194"/>
      <c r="D106" s="194"/>
      <c r="E106" s="194"/>
      <c r="F106" s="194"/>
      <c r="G106" s="194"/>
    </row>
    <row r="107" spans="1:7">
      <c r="A107" s="194"/>
      <c r="B107" s="194"/>
      <c r="C107" s="194"/>
      <c r="D107" s="194"/>
      <c r="E107" s="194"/>
      <c r="F107" s="194"/>
      <c r="G107" s="194"/>
    </row>
    <row r="108" spans="1:7">
      <c r="A108" s="194"/>
      <c r="B108" s="194"/>
      <c r="C108" s="194"/>
      <c r="D108" s="194"/>
      <c r="E108" s="194"/>
      <c r="F108" s="194"/>
      <c r="G108" s="194"/>
    </row>
    <row r="109" spans="1:7">
      <c r="A109" s="194"/>
      <c r="B109" s="194"/>
      <c r="C109" s="194"/>
      <c r="D109" s="194"/>
      <c r="E109" s="194"/>
      <c r="F109" s="194"/>
      <c r="G109" s="194"/>
    </row>
    <row r="110" spans="1:7">
      <c r="A110" s="194"/>
      <c r="B110" s="194"/>
      <c r="C110" s="194"/>
      <c r="D110" s="194"/>
      <c r="E110" s="194"/>
      <c r="F110" s="194"/>
      <c r="G110" s="194"/>
    </row>
    <row r="111" spans="1:7">
      <c r="A111" s="194"/>
      <c r="B111" s="194"/>
      <c r="C111" s="194"/>
      <c r="D111" s="194"/>
      <c r="E111" s="194"/>
      <c r="F111" s="194"/>
      <c r="G111" s="194"/>
    </row>
    <row r="112" spans="1:7">
      <c r="A112" s="209"/>
      <c r="B112" s="209"/>
      <c r="C112" s="209"/>
      <c r="D112" s="209"/>
      <c r="E112" s="209"/>
      <c r="F112" s="209"/>
      <c r="G112" s="209"/>
    </row>
    <row r="118" spans="2:9" s="14" customFormat="1">
      <c r="B118" s="13">
        <f>8.2+17.5+18.5+14.8+4.7+13+37+18.9</f>
        <v>132.6</v>
      </c>
      <c r="C118" s="16"/>
      <c r="D118" s="15"/>
      <c r="E118" s="13"/>
      <c r="F118" s="13"/>
      <c r="G118" s="13"/>
      <c r="H118" s="13"/>
      <c r="I118" s="13"/>
    </row>
    <row r="119" spans="2:9">
      <c r="B119" s="13">
        <f>B118*1.2</f>
        <v>159.11999999999998</v>
      </c>
    </row>
  </sheetData>
  <mergeCells count="19">
    <mergeCell ref="A108:G108"/>
    <mergeCell ref="A109:G109"/>
    <mergeCell ref="A110:G110"/>
    <mergeCell ref="A111:G111"/>
    <mergeCell ref="A112:G112"/>
    <mergeCell ref="A107:G107"/>
    <mergeCell ref="A1:G1"/>
    <mergeCell ref="A2:G2"/>
    <mergeCell ref="B3:D3"/>
    <mergeCell ref="F3:G3"/>
    <mergeCell ref="B4:D4"/>
    <mergeCell ref="F4:G4"/>
    <mergeCell ref="A102:G102"/>
    <mergeCell ref="A103:G103"/>
    <mergeCell ref="A104:G104"/>
    <mergeCell ref="A105:G105"/>
    <mergeCell ref="A106:G106"/>
    <mergeCell ref="A101:B101"/>
    <mergeCell ref="D101:G101"/>
  </mergeCells>
  <phoneticPr fontId="1" type="noConversion"/>
  <printOptions horizontalCentered="1"/>
  <pageMargins left="0.70866141732283472" right="0.70866141732283472" top="0.15748031496062992" bottom="0.15748031496062992" header="1.1811023622047245" footer="0.31496062992125984"/>
  <pageSetup paperSize="9" scale="60" orientation="portrait" r:id="rId1"/>
  <headerFooter>
    <oddHeader>&amp;R第 &amp;P 頁，共 &amp;N 頁</oddHeader>
    <oddFooter>&amp;L計算                                    審查</oddFooter>
  </headerFooter>
  <rowBreaks count="2" manualBreakCount="2">
    <brk id="63" max="6" man="1"/>
    <brk id="79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0"/>
  <sheetViews>
    <sheetView view="pageBreakPreview" topLeftCell="A61" zoomScale="80" zoomScaleNormal="100" zoomScaleSheetLayoutView="80" workbookViewId="0">
      <selection activeCell="G118" sqref="G118"/>
    </sheetView>
  </sheetViews>
  <sheetFormatPr defaultRowHeight="17"/>
  <cols>
    <col min="10" max="10" width="10.90625" bestFit="1" customWidth="1"/>
  </cols>
  <sheetData>
    <row r="1" spans="1:11" ht="36.75" customHeight="1">
      <c r="A1" s="212" t="s">
        <v>86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1" ht="35.25" customHeight="1">
      <c r="A2" s="212" t="s">
        <v>109</v>
      </c>
      <c r="B2" s="212"/>
      <c r="C2" s="212"/>
      <c r="D2" s="212"/>
      <c r="E2" s="212"/>
      <c r="F2" s="212"/>
      <c r="G2" s="212"/>
      <c r="H2" s="212"/>
      <c r="I2" s="212"/>
      <c r="J2" s="212"/>
    </row>
    <row r="3" spans="1:11" ht="23.25" customHeight="1">
      <c r="A3" s="215" t="s">
        <v>50</v>
      </c>
      <c r="B3" s="216"/>
      <c r="C3" s="216"/>
      <c r="D3" s="216"/>
      <c r="E3" s="216"/>
      <c r="F3" s="216"/>
      <c r="G3" s="216"/>
      <c r="H3" s="216"/>
      <c r="I3" s="216"/>
      <c r="J3" s="217"/>
    </row>
    <row r="4" spans="1:11" ht="20.25" customHeight="1">
      <c r="A4" s="12" t="s">
        <v>110</v>
      </c>
      <c r="B4" s="214" t="s">
        <v>108</v>
      </c>
      <c r="C4" s="214"/>
      <c r="D4" s="214"/>
      <c r="E4" s="214"/>
      <c r="F4" s="7"/>
      <c r="G4" s="8"/>
      <c r="H4" s="213"/>
      <c r="I4" s="213"/>
      <c r="J4" s="9"/>
    </row>
    <row r="5" spans="1:11" ht="30.75" customHeight="1">
      <c r="A5" s="3" t="s">
        <v>111</v>
      </c>
      <c r="B5" s="210" t="s">
        <v>53</v>
      </c>
      <c r="C5" s="210"/>
      <c r="D5" s="210"/>
      <c r="E5" s="210"/>
      <c r="F5" s="210"/>
      <c r="G5" s="3" t="s">
        <v>54</v>
      </c>
      <c r="H5" s="211" t="s">
        <v>55</v>
      </c>
      <c r="I5" s="211"/>
      <c r="J5" s="3" t="s">
        <v>85</v>
      </c>
    </row>
    <row r="6" spans="1:11">
      <c r="A6" s="218"/>
      <c r="B6" s="210" t="s">
        <v>56</v>
      </c>
      <c r="C6" s="210"/>
      <c r="D6" s="210"/>
      <c r="E6" s="210"/>
      <c r="F6" s="3" t="s">
        <v>57</v>
      </c>
      <c r="G6" s="3" t="s">
        <v>58</v>
      </c>
      <c r="H6" s="3" t="s">
        <v>59</v>
      </c>
      <c r="I6" s="3" t="s">
        <v>60</v>
      </c>
      <c r="J6" s="3"/>
    </row>
    <row r="7" spans="1:11">
      <c r="A7" s="219"/>
      <c r="B7" s="210" t="s">
        <v>61</v>
      </c>
      <c r="C7" s="210"/>
      <c r="D7" s="210"/>
      <c r="E7" s="210"/>
      <c r="F7" s="3" t="s">
        <v>66</v>
      </c>
      <c r="G7" s="3">
        <v>8</v>
      </c>
      <c r="H7" s="3">
        <v>500</v>
      </c>
      <c r="I7" s="3">
        <f>H7*G7</f>
        <v>4000</v>
      </c>
      <c r="J7" s="3"/>
      <c r="K7">
        <v>30800</v>
      </c>
    </row>
    <row r="8" spans="1:11">
      <c r="A8" s="219"/>
      <c r="B8" s="210" t="s">
        <v>62</v>
      </c>
      <c r="C8" s="210"/>
      <c r="D8" s="210"/>
      <c r="E8" s="210"/>
      <c r="F8" s="3" t="s">
        <v>67</v>
      </c>
      <c r="G8" s="3">
        <v>10</v>
      </c>
      <c r="H8" s="3">
        <v>1200</v>
      </c>
      <c r="I8" s="3">
        <f t="shared" ref="I8:I11" si="0">H8*G8</f>
        <v>12000</v>
      </c>
      <c r="J8" s="3"/>
    </row>
    <row r="9" spans="1:11">
      <c r="A9" s="219"/>
      <c r="B9" s="210" t="s">
        <v>63</v>
      </c>
      <c r="C9" s="210"/>
      <c r="D9" s="210"/>
      <c r="E9" s="210"/>
      <c r="F9" s="3" t="s">
        <v>68</v>
      </c>
      <c r="G9" s="3">
        <v>1</v>
      </c>
      <c r="H9" s="3">
        <v>1500</v>
      </c>
      <c r="I9" s="3">
        <f t="shared" si="0"/>
        <v>1500</v>
      </c>
      <c r="J9" s="3"/>
    </row>
    <row r="10" spans="1:11">
      <c r="A10" s="219"/>
      <c r="B10" s="210" t="s">
        <v>64</v>
      </c>
      <c r="C10" s="210"/>
      <c r="D10" s="210"/>
      <c r="E10" s="210"/>
      <c r="F10" s="3" t="s">
        <v>69</v>
      </c>
      <c r="G10" s="3">
        <v>3</v>
      </c>
      <c r="H10" s="3">
        <v>3500</v>
      </c>
      <c r="I10" s="3">
        <f t="shared" si="0"/>
        <v>10500</v>
      </c>
      <c r="J10" s="3"/>
    </row>
    <row r="11" spans="1:11">
      <c r="A11" s="219"/>
      <c r="B11" s="210" t="s">
        <v>65</v>
      </c>
      <c r="C11" s="210"/>
      <c r="D11" s="210"/>
      <c r="E11" s="210"/>
      <c r="F11" s="3" t="s">
        <v>19</v>
      </c>
      <c r="G11" s="3">
        <v>1</v>
      </c>
      <c r="H11" s="3">
        <v>2800</v>
      </c>
      <c r="I11" s="3">
        <f t="shared" si="0"/>
        <v>2800</v>
      </c>
      <c r="J11" s="3"/>
    </row>
    <row r="12" spans="1:11">
      <c r="A12" s="219"/>
      <c r="B12" s="211" t="s">
        <v>70</v>
      </c>
      <c r="C12" s="211"/>
      <c r="D12" s="211"/>
      <c r="E12" s="211"/>
      <c r="F12" s="211">
        <f>SUM(I7:I11)</f>
        <v>30800</v>
      </c>
      <c r="G12" s="211"/>
      <c r="H12" s="211"/>
      <c r="I12" s="211"/>
      <c r="J12" s="3"/>
    </row>
    <row r="13" spans="1:11">
      <c r="A13" s="219"/>
      <c r="B13" s="210"/>
      <c r="C13" s="210"/>
      <c r="D13" s="210"/>
      <c r="E13" s="210"/>
      <c r="F13" s="3"/>
      <c r="G13" s="3"/>
      <c r="H13" s="3"/>
      <c r="I13" s="3"/>
      <c r="J13" s="3"/>
    </row>
    <row r="14" spans="1:11">
      <c r="A14" s="219"/>
      <c r="B14" s="210"/>
      <c r="C14" s="210"/>
      <c r="D14" s="210"/>
      <c r="E14" s="210"/>
      <c r="F14" s="3"/>
      <c r="G14" s="3"/>
      <c r="H14" s="3"/>
      <c r="I14" s="3"/>
      <c r="J14" s="3"/>
    </row>
    <row r="15" spans="1:11">
      <c r="A15" s="219"/>
      <c r="B15" s="210"/>
      <c r="C15" s="210"/>
      <c r="D15" s="210"/>
      <c r="E15" s="210"/>
      <c r="F15" s="3"/>
      <c r="G15" s="3"/>
      <c r="H15" s="3"/>
      <c r="I15" s="3"/>
      <c r="J15" s="3"/>
    </row>
    <row r="16" spans="1:11">
      <c r="A16" s="219"/>
      <c r="B16" s="210"/>
      <c r="C16" s="210"/>
      <c r="D16" s="210"/>
      <c r="E16" s="210"/>
      <c r="F16" s="3"/>
      <c r="G16" s="3"/>
      <c r="H16" s="3"/>
      <c r="I16" s="3"/>
      <c r="J16" s="3"/>
    </row>
    <row r="17" spans="1:11">
      <c r="A17" s="219"/>
      <c r="B17" s="210"/>
      <c r="C17" s="210"/>
      <c r="D17" s="210"/>
      <c r="E17" s="210"/>
      <c r="F17" s="3"/>
      <c r="G17" s="3"/>
      <c r="H17" s="3"/>
      <c r="I17" s="3"/>
      <c r="J17" s="3"/>
    </row>
    <row r="18" spans="1:11">
      <c r="A18" s="219"/>
      <c r="B18" s="210"/>
      <c r="C18" s="210"/>
      <c r="D18" s="210"/>
      <c r="E18" s="210"/>
      <c r="F18" s="3"/>
      <c r="G18" s="3"/>
      <c r="H18" s="3"/>
      <c r="I18" s="3"/>
      <c r="J18" s="3"/>
    </row>
    <row r="19" spans="1:11">
      <c r="A19" s="219"/>
      <c r="B19" s="210"/>
      <c r="C19" s="210"/>
      <c r="D19" s="210"/>
      <c r="E19" s="210"/>
      <c r="F19" s="3"/>
      <c r="G19" s="3"/>
      <c r="H19" s="3"/>
      <c r="I19" s="3"/>
      <c r="J19" s="3"/>
    </row>
    <row r="20" spans="1:11">
      <c r="A20" s="219"/>
      <c r="B20" s="210"/>
      <c r="C20" s="210"/>
      <c r="D20" s="210"/>
      <c r="E20" s="210"/>
      <c r="F20" s="3"/>
      <c r="G20" s="3"/>
      <c r="H20" s="3"/>
      <c r="I20" s="3"/>
      <c r="J20" s="3"/>
    </row>
    <row r="21" spans="1:11">
      <c r="A21" s="219"/>
      <c r="B21" s="210"/>
      <c r="C21" s="210"/>
      <c r="D21" s="210"/>
      <c r="E21" s="210"/>
      <c r="F21" s="3"/>
      <c r="G21" s="3"/>
      <c r="H21" s="3"/>
      <c r="I21" s="3"/>
      <c r="J21" s="3"/>
    </row>
    <row r="22" spans="1:11" ht="30.75" customHeight="1">
      <c r="A22" s="3" t="s">
        <v>112</v>
      </c>
      <c r="B22" s="210" t="s">
        <v>71</v>
      </c>
      <c r="C22" s="210"/>
      <c r="D22" s="210"/>
      <c r="E22" s="210"/>
      <c r="F22" s="210"/>
      <c r="G22" s="3" t="s">
        <v>54</v>
      </c>
      <c r="H22" s="211" t="s">
        <v>72</v>
      </c>
      <c r="I22" s="211"/>
      <c r="J22" s="3"/>
    </row>
    <row r="23" spans="1:11">
      <c r="A23" s="10"/>
      <c r="B23" s="210" t="s">
        <v>56</v>
      </c>
      <c r="C23" s="210"/>
      <c r="D23" s="210"/>
      <c r="E23" s="210"/>
      <c r="F23" s="3" t="s">
        <v>57</v>
      </c>
      <c r="G23" s="3" t="s">
        <v>58</v>
      </c>
      <c r="H23" s="3" t="s">
        <v>59</v>
      </c>
      <c r="I23" s="3" t="s">
        <v>60</v>
      </c>
      <c r="J23" s="3"/>
      <c r="K23">
        <v>28000</v>
      </c>
    </row>
    <row r="24" spans="1:11">
      <c r="A24" s="10"/>
      <c r="B24" s="210" t="s">
        <v>61</v>
      </c>
      <c r="C24" s="210"/>
      <c r="D24" s="210"/>
      <c r="E24" s="210"/>
      <c r="F24" s="3" t="s">
        <v>66</v>
      </c>
      <c r="G24" s="3">
        <v>6</v>
      </c>
      <c r="H24" s="3">
        <v>500</v>
      </c>
      <c r="I24" s="3">
        <f>H24*G24</f>
        <v>3000</v>
      </c>
      <c r="J24" s="3"/>
    </row>
    <row r="25" spans="1:11">
      <c r="A25" s="10"/>
      <c r="B25" s="210" t="s">
        <v>62</v>
      </c>
      <c r="C25" s="210"/>
      <c r="D25" s="210"/>
      <c r="E25" s="210"/>
      <c r="F25" s="3" t="s">
        <v>67</v>
      </c>
      <c r="G25" s="3">
        <v>8</v>
      </c>
      <c r="H25" s="3">
        <v>1200</v>
      </c>
      <c r="I25" s="3">
        <f t="shared" ref="I25:I28" si="1">H25*G25</f>
        <v>9600</v>
      </c>
      <c r="J25" s="3"/>
    </row>
    <row r="26" spans="1:11">
      <c r="A26" s="10"/>
      <c r="B26" s="210" t="s">
        <v>63</v>
      </c>
      <c r="C26" s="210"/>
      <c r="D26" s="210"/>
      <c r="E26" s="210"/>
      <c r="F26" s="3" t="s">
        <v>68</v>
      </c>
      <c r="G26" s="3">
        <v>1</v>
      </c>
      <c r="H26" s="3">
        <v>2000</v>
      </c>
      <c r="I26" s="3">
        <f t="shared" si="1"/>
        <v>2000</v>
      </c>
      <c r="J26" s="3"/>
    </row>
    <row r="27" spans="1:11">
      <c r="A27" s="10"/>
      <c r="B27" s="210" t="s">
        <v>64</v>
      </c>
      <c r="C27" s="210"/>
      <c r="D27" s="210"/>
      <c r="E27" s="210"/>
      <c r="F27" s="3" t="s">
        <v>69</v>
      </c>
      <c r="G27" s="3">
        <v>3</v>
      </c>
      <c r="H27" s="3">
        <v>3500</v>
      </c>
      <c r="I27" s="3">
        <f t="shared" si="1"/>
        <v>10500</v>
      </c>
      <c r="J27" s="3"/>
    </row>
    <row r="28" spans="1:11">
      <c r="A28" s="10"/>
      <c r="B28" s="210" t="s">
        <v>65</v>
      </c>
      <c r="C28" s="210"/>
      <c r="D28" s="210"/>
      <c r="E28" s="210"/>
      <c r="F28" s="3" t="s">
        <v>19</v>
      </c>
      <c r="G28" s="3">
        <v>1</v>
      </c>
      <c r="H28" s="3">
        <v>2900</v>
      </c>
      <c r="I28" s="3">
        <f t="shared" si="1"/>
        <v>2900</v>
      </c>
      <c r="J28" s="3"/>
    </row>
    <row r="29" spans="1:11">
      <c r="A29" s="10"/>
      <c r="B29" s="211" t="s">
        <v>70</v>
      </c>
      <c r="C29" s="211"/>
      <c r="D29" s="211"/>
      <c r="E29" s="211"/>
      <c r="F29" s="211">
        <f>SUM(I24:I28)</f>
        <v>28000</v>
      </c>
      <c r="G29" s="211"/>
      <c r="H29" s="211"/>
      <c r="I29" s="211"/>
      <c r="J29" s="3"/>
    </row>
    <row r="30" spans="1:11">
      <c r="A30" s="10"/>
      <c r="B30" s="210"/>
      <c r="C30" s="210"/>
      <c r="D30" s="210"/>
      <c r="E30" s="210"/>
      <c r="F30" s="3"/>
      <c r="G30" s="3"/>
      <c r="H30" s="3"/>
      <c r="I30" s="3"/>
      <c r="J30" s="3"/>
    </row>
    <row r="31" spans="1:11">
      <c r="A31" s="10"/>
      <c r="B31" s="210"/>
      <c r="C31" s="210"/>
      <c r="D31" s="210"/>
      <c r="E31" s="210"/>
      <c r="F31" s="3"/>
      <c r="G31" s="3"/>
      <c r="H31" s="3"/>
      <c r="I31" s="3"/>
      <c r="J31" s="3"/>
    </row>
    <row r="32" spans="1:11">
      <c r="A32" s="10"/>
      <c r="B32" s="210"/>
      <c r="C32" s="210"/>
      <c r="D32" s="210"/>
      <c r="E32" s="210"/>
      <c r="F32" s="3"/>
      <c r="G32" s="3"/>
      <c r="H32" s="3"/>
      <c r="I32" s="3"/>
      <c r="J32" s="3"/>
    </row>
    <row r="33" spans="1:11">
      <c r="A33" s="10"/>
      <c r="B33" s="210"/>
      <c r="C33" s="210"/>
      <c r="D33" s="210"/>
      <c r="E33" s="210"/>
      <c r="F33" s="3"/>
      <c r="G33" s="3"/>
      <c r="H33" s="3"/>
      <c r="I33" s="3"/>
      <c r="J33" s="3"/>
    </row>
    <row r="34" spans="1:11">
      <c r="A34" s="10"/>
      <c r="B34" s="210"/>
      <c r="C34" s="210"/>
      <c r="D34" s="210"/>
      <c r="E34" s="210"/>
      <c r="F34" s="3"/>
      <c r="G34" s="3"/>
      <c r="H34" s="3"/>
      <c r="I34" s="3"/>
      <c r="J34" s="3"/>
    </row>
    <row r="35" spans="1:11">
      <c r="A35" s="10"/>
      <c r="B35" s="210"/>
      <c r="C35" s="210"/>
      <c r="D35" s="210"/>
      <c r="E35" s="210"/>
      <c r="F35" s="3"/>
      <c r="G35" s="3"/>
      <c r="H35" s="3"/>
      <c r="I35" s="3"/>
      <c r="J35" s="3"/>
    </row>
    <row r="36" spans="1:11">
      <c r="A36" s="10"/>
      <c r="B36" s="210"/>
      <c r="C36" s="210"/>
      <c r="D36" s="210"/>
      <c r="E36" s="210"/>
      <c r="F36" s="3"/>
      <c r="G36" s="3"/>
      <c r="H36" s="3"/>
      <c r="I36" s="3"/>
      <c r="J36" s="3"/>
    </row>
    <row r="37" spans="1:11">
      <c r="A37" s="10"/>
      <c r="B37" s="210"/>
      <c r="C37" s="210"/>
      <c r="D37" s="210"/>
      <c r="E37" s="210"/>
      <c r="F37" s="3"/>
      <c r="G37" s="3"/>
      <c r="H37" s="3"/>
      <c r="I37" s="3"/>
      <c r="J37" s="3"/>
    </row>
    <row r="38" spans="1:11">
      <c r="A38" s="11"/>
      <c r="B38" s="210"/>
      <c r="C38" s="210"/>
      <c r="D38" s="210"/>
      <c r="E38" s="210"/>
      <c r="F38" s="3"/>
      <c r="G38" s="3"/>
      <c r="H38" s="3"/>
      <c r="I38" s="3"/>
      <c r="J38" s="3"/>
    </row>
    <row r="39" spans="1:11" ht="30.75" customHeight="1">
      <c r="A39" s="3" t="s">
        <v>113</v>
      </c>
      <c r="B39" s="220" t="e">
        <f>#REF!</f>
        <v>#REF!</v>
      </c>
      <c r="C39" s="220"/>
      <c r="D39" s="220"/>
      <c r="E39" s="220"/>
      <c r="F39" s="220"/>
      <c r="G39" s="5" t="s">
        <v>54</v>
      </c>
      <c r="H39" s="221" t="e">
        <f>#REF!</f>
        <v>#REF!</v>
      </c>
      <c r="I39" s="221"/>
      <c r="J39" s="6" t="s">
        <v>85</v>
      </c>
    </row>
    <row r="40" spans="1:11">
      <c r="A40" s="222"/>
      <c r="B40" s="210" t="s">
        <v>56</v>
      </c>
      <c r="C40" s="210"/>
      <c r="D40" s="210"/>
      <c r="E40" s="210"/>
      <c r="F40" s="3" t="s">
        <v>57</v>
      </c>
      <c r="G40" s="3" t="s">
        <v>58</v>
      </c>
      <c r="H40" s="3" t="s">
        <v>59</v>
      </c>
      <c r="I40" s="3" t="s">
        <v>60</v>
      </c>
      <c r="J40" s="4"/>
      <c r="K40" s="1" t="e">
        <f>#REF!</f>
        <v>#REF!</v>
      </c>
    </row>
    <row r="41" spans="1:11">
      <c r="A41" s="222"/>
      <c r="B41" s="210" t="s">
        <v>61</v>
      </c>
      <c r="C41" s="210"/>
      <c r="D41" s="210"/>
      <c r="E41" s="210"/>
      <c r="F41" s="3" t="s">
        <v>66</v>
      </c>
      <c r="G41" s="3">
        <v>0.4</v>
      </c>
      <c r="H41" s="3">
        <v>500</v>
      </c>
      <c r="I41" s="3">
        <f>H41*G41</f>
        <v>200</v>
      </c>
      <c r="J41" s="4"/>
    </row>
    <row r="42" spans="1:11">
      <c r="A42" s="222"/>
      <c r="B42" s="210" t="s">
        <v>62</v>
      </c>
      <c r="C42" s="210"/>
      <c r="D42" s="210"/>
      <c r="E42" s="210"/>
      <c r="F42" s="3" t="s">
        <v>67</v>
      </c>
      <c r="G42" s="3">
        <v>0.5</v>
      </c>
      <c r="H42" s="3">
        <v>1200</v>
      </c>
      <c r="I42" s="3">
        <f t="shared" ref="I42:I45" si="2">H42*G42</f>
        <v>600</v>
      </c>
      <c r="J42" s="4"/>
    </row>
    <row r="43" spans="1:11">
      <c r="A43" s="222"/>
      <c r="B43" s="210" t="s">
        <v>63</v>
      </c>
      <c r="C43" s="210"/>
      <c r="D43" s="210"/>
      <c r="E43" s="210"/>
      <c r="F43" s="3" t="s">
        <v>68</v>
      </c>
      <c r="G43" s="3">
        <v>1</v>
      </c>
      <c r="H43" s="3">
        <v>80</v>
      </c>
      <c r="I43" s="3">
        <f t="shared" si="2"/>
        <v>80</v>
      </c>
      <c r="J43" s="4"/>
    </row>
    <row r="44" spans="1:11">
      <c r="A44" s="222"/>
      <c r="B44" s="210" t="s">
        <v>64</v>
      </c>
      <c r="C44" s="210"/>
      <c r="D44" s="210"/>
      <c r="E44" s="210"/>
      <c r="F44" s="3" t="s">
        <v>69</v>
      </c>
      <c r="G44" s="3">
        <v>1</v>
      </c>
      <c r="H44" s="3">
        <v>300</v>
      </c>
      <c r="I44" s="3">
        <f t="shared" si="2"/>
        <v>300</v>
      </c>
      <c r="J44" s="4"/>
    </row>
    <row r="45" spans="1:11">
      <c r="A45" s="222"/>
      <c r="B45" s="210" t="s">
        <v>65</v>
      </c>
      <c r="C45" s="210"/>
      <c r="D45" s="210"/>
      <c r="E45" s="210"/>
      <c r="F45" s="3" t="s">
        <v>19</v>
      </c>
      <c r="G45" s="3">
        <v>1</v>
      </c>
      <c r="H45" s="3">
        <v>500</v>
      </c>
      <c r="I45" s="3">
        <f t="shared" si="2"/>
        <v>500</v>
      </c>
      <c r="J45" s="4"/>
    </row>
    <row r="46" spans="1:11">
      <c r="A46" s="222"/>
      <c r="B46" s="211" t="s">
        <v>70</v>
      </c>
      <c r="C46" s="211"/>
      <c r="D46" s="211"/>
      <c r="E46" s="211"/>
      <c r="F46" s="211">
        <f>SUM(I41:I45)</f>
        <v>1680</v>
      </c>
      <c r="G46" s="211"/>
      <c r="H46" s="211"/>
      <c r="I46" s="211"/>
      <c r="J46" s="4"/>
    </row>
    <row r="47" spans="1:11">
      <c r="A47" s="222"/>
      <c r="B47" s="210"/>
      <c r="C47" s="210"/>
      <c r="D47" s="210"/>
      <c r="E47" s="210"/>
      <c r="F47" s="3"/>
      <c r="G47" s="3"/>
      <c r="H47" s="3"/>
      <c r="I47" s="3"/>
      <c r="J47" s="4"/>
    </row>
    <row r="48" spans="1:11">
      <c r="A48" s="222"/>
      <c r="B48" s="210"/>
      <c r="C48" s="210"/>
      <c r="D48" s="210"/>
      <c r="E48" s="210"/>
      <c r="F48" s="3"/>
      <c r="G48" s="3"/>
      <c r="H48" s="3"/>
      <c r="I48" s="3"/>
      <c r="J48" s="4"/>
    </row>
    <row r="49" spans="1:11">
      <c r="A49" s="222"/>
      <c r="B49" s="210"/>
      <c r="C49" s="210"/>
      <c r="D49" s="210"/>
      <c r="E49" s="210"/>
      <c r="F49" s="3"/>
      <c r="G49" s="3"/>
      <c r="H49" s="3"/>
      <c r="I49" s="3"/>
      <c r="J49" s="4"/>
    </row>
    <row r="50" spans="1:11">
      <c r="A50" s="222"/>
      <c r="B50" s="210"/>
      <c r="C50" s="210"/>
      <c r="D50" s="210"/>
      <c r="E50" s="210"/>
      <c r="F50" s="3"/>
      <c r="G50" s="3"/>
      <c r="H50" s="3"/>
      <c r="I50" s="3"/>
      <c r="J50" s="4"/>
    </row>
    <row r="51" spans="1:11">
      <c r="A51" s="222"/>
      <c r="B51" s="210"/>
      <c r="C51" s="210"/>
      <c r="D51" s="210"/>
      <c r="E51" s="210"/>
      <c r="F51" s="3"/>
      <c r="G51" s="3"/>
      <c r="H51" s="3"/>
      <c r="I51" s="3"/>
      <c r="J51" s="4"/>
    </row>
    <row r="52" spans="1:11">
      <c r="A52" s="222"/>
      <c r="B52" s="210"/>
      <c r="C52" s="210"/>
      <c r="D52" s="210"/>
      <c r="E52" s="210"/>
      <c r="F52" s="3"/>
      <c r="G52" s="3"/>
      <c r="H52" s="3"/>
      <c r="I52" s="3"/>
      <c r="J52" s="4"/>
    </row>
    <row r="53" spans="1:11">
      <c r="A53" s="222"/>
      <c r="B53" s="210"/>
      <c r="C53" s="210"/>
      <c r="D53" s="210"/>
      <c r="E53" s="210"/>
      <c r="F53" s="3"/>
      <c r="G53" s="3"/>
      <c r="H53" s="3"/>
      <c r="I53" s="3"/>
      <c r="J53" s="4"/>
    </row>
    <row r="54" spans="1:11">
      <c r="A54" s="222"/>
      <c r="B54" s="210"/>
      <c r="C54" s="210"/>
      <c r="D54" s="210"/>
      <c r="E54" s="210"/>
      <c r="F54" s="3"/>
      <c r="G54" s="3"/>
      <c r="H54" s="3"/>
      <c r="I54" s="3"/>
      <c r="J54" s="4"/>
    </row>
    <row r="55" spans="1:11">
      <c r="A55" s="222"/>
      <c r="B55" s="210"/>
      <c r="C55" s="210"/>
      <c r="D55" s="210"/>
      <c r="E55" s="210"/>
      <c r="F55" s="3"/>
      <c r="G55" s="3"/>
      <c r="H55" s="3"/>
      <c r="I55" s="3"/>
      <c r="J55" s="4"/>
    </row>
    <row r="56" spans="1:11" ht="30.75" customHeight="1">
      <c r="A56" s="3" t="s">
        <v>115</v>
      </c>
      <c r="B56" s="210" t="e">
        <f>#REF!</f>
        <v>#REF!</v>
      </c>
      <c r="C56" s="210"/>
      <c r="D56" s="210"/>
      <c r="E56" s="210"/>
      <c r="F56" s="210"/>
      <c r="G56" s="3" t="s">
        <v>54</v>
      </c>
      <c r="H56" s="211" t="e">
        <f>#REF!</f>
        <v>#REF!</v>
      </c>
      <c r="I56" s="211"/>
      <c r="J56" s="4"/>
    </row>
    <row r="57" spans="1:11">
      <c r="A57" s="223"/>
      <c r="B57" s="210" t="s">
        <v>56</v>
      </c>
      <c r="C57" s="210"/>
      <c r="D57" s="210"/>
      <c r="E57" s="210"/>
      <c r="F57" s="3" t="s">
        <v>57</v>
      </c>
      <c r="G57" s="3" t="s">
        <v>58</v>
      </c>
      <c r="H57" s="3" t="s">
        <v>59</v>
      </c>
      <c r="I57" s="3" t="s">
        <v>60</v>
      </c>
      <c r="J57" s="4"/>
    </row>
    <row r="58" spans="1:11">
      <c r="A58" s="224"/>
      <c r="B58" s="210" t="s">
        <v>74</v>
      </c>
      <c r="C58" s="210"/>
      <c r="D58" s="210"/>
      <c r="E58" s="210"/>
      <c r="F58" s="3" t="s">
        <v>78</v>
      </c>
      <c r="G58" s="3">
        <v>1</v>
      </c>
      <c r="H58" s="3">
        <v>150</v>
      </c>
      <c r="I58" s="3">
        <f>H58*G58</f>
        <v>150</v>
      </c>
      <c r="J58" s="4"/>
      <c r="K58" s="1" t="e">
        <f>#REF!</f>
        <v>#REF!</v>
      </c>
    </row>
    <row r="59" spans="1:11">
      <c r="A59" s="224"/>
      <c r="B59" s="210" t="s">
        <v>73</v>
      </c>
      <c r="C59" s="210"/>
      <c r="D59" s="210"/>
      <c r="E59" s="210"/>
      <c r="F59" s="3" t="s">
        <v>78</v>
      </c>
      <c r="G59" s="3">
        <v>1</v>
      </c>
      <c r="H59" s="3">
        <v>200</v>
      </c>
      <c r="I59" s="3">
        <f t="shared" ref="I59:I62" si="3">H59*G59</f>
        <v>200</v>
      </c>
      <c r="J59" s="4"/>
    </row>
    <row r="60" spans="1:11">
      <c r="A60" s="224"/>
      <c r="B60" s="210" t="s">
        <v>77</v>
      </c>
      <c r="C60" s="210"/>
      <c r="D60" s="210"/>
      <c r="E60" s="210"/>
      <c r="F60" s="3" t="s">
        <v>68</v>
      </c>
      <c r="G60" s="3">
        <v>1</v>
      </c>
      <c r="H60" s="3">
        <v>33</v>
      </c>
      <c r="I60" s="3">
        <f t="shared" si="3"/>
        <v>33</v>
      </c>
      <c r="J60" s="4"/>
    </row>
    <row r="61" spans="1:11">
      <c r="A61" s="224"/>
      <c r="B61" s="210" t="s">
        <v>75</v>
      </c>
      <c r="C61" s="210"/>
      <c r="D61" s="210"/>
      <c r="E61" s="210"/>
      <c r="F61" s="3" t="s">
        <v>69</v>
      </c>
      <c r="G61" s="3">
        <v>1</v>
      </c>
      <c r="H61" s="3">
        <v>500</v>
      </c>
      <c r="I61" s="3">
        <f t="shared" si="3"/>
        <v>500</v>
      </c>
      <c r="J61" s="4"/>
    </row>
    <row r="62" spans="1:11">
      <c r="A62" s="224"/>
      <c r="B62" s="210" t="s">
        <v>76</v>
      </c>
      <c r="C62" s="210"/>
      <c r="D62" s="210"/>
      <c r="E62" s="210"/>
      <c r="F62" s="3" t="s">
        <v>19</v>
      </c>
      <c r="G62" s="3">
        <v>1</v>
      </c>
      <c r="H62" s="3">
        <v>43</v>
      </c>
      <c r="I62" s="3">
        <f t="shared" si="3"/>
        <v>43</v>
      </c>
      <c r="J62" s="4"/>
    </row>
    <row r="63" spans="1:11">
      <c r="A63" s="224"/>
      <c r="B63" s="211" t="s">
        <v>70</v>
      </c>
      <c r="C63" s="211"/>
      <c r="D63" s="211"/>
      <c r="E63" s="211"/>
      <c r="F63" s="211">
        <f>SUM(I58:I62)</f>
        <v>926</v>
      </c>
      <c r="G63" s="211"/>
      <c r="H63" s="211"/>
      <c r="I63" s="211"/>
      <c r="J63" s="4"/>
    </row>
    <row r="64" spans="1:11">
      <c r="A64" s="224"/>
      <c r="B64" s="210"/>
      <c r="C64" s="210"/>
      <c r="D64" s="210"/>
      <c r="E64" s="210"/>
      <c r="F64" s="3"/>
      <c r="G64" s="3"/>
      <c r="H64" s="3"/>
      <c r="I64" s="3"/>
      <c r="J64" s="4"/>
    </row>
    <row r="65" spans="1:11">
      <c r="A65" s="224"/>
      <c r="B65" s="210"/>
      <c r="C65" s="210"/>
      <c r="D65" s="210"/>
      <c r="E65" s="210"/>
      <c r="F65" s="3"/>
      <c r="G65" s="3"/>
      <c r="H65" s="3"/>
      <c r="I65" s="3"/>
      <c r="J65" s="4"/>
    </row>
    <row r="66" spans="1:11">
      <c r="A66" s="224"/>
      <c r="B66" s="210"/>
      <c r="C66" s="210"/>
      <c r="D66" s="210"/>
      <c r="E66" s="210"/>
      <c r="F66" s="3"/>
      <c r="G66" s="3"/>
      <c r="H66" s="3"/>
      <c r="I66" s="3"/>
      <c r="J66" s="4"/>
    </row>
    <row r="67" spans="1:11">
      <c r="A67" s="224"/>
      <c r="B67" s="210"/>
      <c r="C67" s="210"/>
      <c r="D67" s="210"/>
      <c r="E67" s="210"/>
      <c r="F67" s="3"/>
      <c r="G67" s="3"/>
      <c r="H67" s="3"/>
      <c r="I67" s="3"/>
      <c r="J67" s="4"/>
    </row>
    <row r="68" spans="1:11">
      <c r="A68" s="224"/>
      <c r="B68" s="210"/>
      <c r="C68" s="210"/>
      <c r="D68" s="210"/>
      <c r="E68" s="210"/>
      <c r="F68" s="3"/>
      <c r="G68" s="3"/>
      <c r="H68" s="3"/>
      <c r="I68" s="3"/>
      <c r="J68" s="4"/>
    </row>
    <row r="69" spans="1:11">
      <c r="A69" s="224"/>
      <c r="B69" s="210"/>
      <c r="C69" s="210"/>
      <c r="D69" s="210"/>
      <c r="E69" s="210"/>
      <c r="F69" s="3"/>
      <c r="G69" s="3"/>
      <c r="H69" s="3"/>
      <c r="I69" s="3"/>
      <c r="J69" s="4"/>
    </row>
    <row r="70" spans="1:11">
      <c r="A70" s="224"/>
      <c r="B70" s="210"/>
      <c r="C70" s="210"/>
      <c r="D70" s="210"/>
      <c r="E70" s="210"/>
      <c r="F70" s="3"/>
      <c r="G70" s="3"/>
      <c r="H70" s="3"/>
      <c r="I70" s="3"/>
      <c r="J70" s="4"/>
    </row>
    <row r="71" spans="1:11">
      <c r="A71" s="224"/>
      <c r="B71" s="210"/>
      <c r="C71" s="210"/>
      <c r="D71" s="210"/>
      <c r="E71" s="210"/>
      <c r="F71" s="3"/>
      <c r="G71" s="3"/>
      <c r="H71" s="3"/>
      <c r="I71" s="3"/>
      <c r="J71" s="4"/>
    </row>
    <row r="72" spans="1:11">
      <c r="A72" s="224"/>
      <c r="B72" s="210"/>
      <c r="C72" s="210"/>
      <c r="D72" s="210"/>
      <c r="E72" s="210"/>
      <c r="F72" s="3"/>
      <c r="G72" s="3"/>
      <c r="H72" s="3"/>
      <c r="I72" s="3"/>
      <c r="J72" s="4"/>
    </row>
    <row r="73" spans="1:11">
      <c r="A73" s="224"/>
      <c r="B73" s="210"/>
      <c r="C73" s="210"/>
      <c r="D73" s="210"/>
      <c r="E73" s="210"/>
      <c r="F73" s="3"/>
      <c r="G73" s="3"/>
      <c r="H73" s="3"/>
      <c r="I73" s="3"/>
      <c r="J73" s="4"/>
    </row>
    <row r="74" spans="1:11" ht="30.75" customHeight="1">
      <c r="A74" s="2" t="s">
        <v>79</v>
      </c>
      <c r="B74" s="210" t="e">
        <f>#REF!</f>
        <v>#REF!</v>
      </c>
      <c r="C74" s="210"/>
      <c r="D74" s="210"/>
      <c r="E74" s="210"/>
      <c r="F74" s="210"/>
      <c r="G74" s="3" t="s">
        <v>54</v>
      </c>
      <c r="H74" s="211" t="e">
        <f>#REF!</f>
        <v>#REF!</v>
      </c>
      <c r="I74" s="211"/>
      <c r="J74" s="4" t="s">
        <v>85</v>
      </c>
    </row>
    <row r="75" spans="1:11">
      <c r="A75" s="222"/>
      <c r="B75" s="210" t="s">
        <v>56</v>
      </c>
      <c r="C75" s="210"/>
      <c r="D75" s="210"/>
      <c r="E75" s="210"/>
      <c r="F75" s="3" t="s">
        <v>57</v>
      </c>
      <c r="G75" s="3" t="s">
        <v>58</v>
      </c>
      <c r="H75" s="3" t="s">
        <v>59</v>
      </c>
      <c r="I75" s="3" t="s">
        <v>60</v>
      </c>
      <c r="J75" s="4"/>
    </row>
    <row r="76" spans="1:11">
      <c r="A76" s="222"/>
      <c r="B76" s="210" t="s">
        <v>82</v>
      </c>
      <c r="C76" s="210"/>
      <c r="D76" s="210"/>
      <c r="E76" s="210"/>
      <c r="F76" s="3" t="s">
        <v>80</v>
      </c>
      <c r="G76" s="3">
        <v>1</v>
      </c>
      <c r="H76" s="3">
        <v>750</v>
      </c>
      <c r="I76" s="3">
        <f>H76*G76</f>
        <v>750</v>
      </c>
      <c r="J76" s="4"/>
      <c r="K76" s="1" t="e">
        <f>#REF!</f>
        <v>#REF!</v>
      </c>
    </row>
    <row r="77" spans="1:11">
      <c r="A77" s="222"/>
      <c r="B77" s="210" t="s">
        <v>83</v>
      </c>
      <c r="C77" s="210"/>
      <c r="D77" s="210"/>
      <c r="E77" s="210"/>
      <c r="F77" s="3" t="s">
        <v>81</v>
      </c>
      <c r="G77" s="3">
        <v>1</v>
      </c>
      <c r="H77" s="3">
        <v>250</v>
      </c>
      <c r="I77" s="3">
        <f t="shared" ref="I77:I80" si="4">H77*G77</f>
        <v>250</v>
      </c>
      <c r="J77" s="4"/>
    </row>
    <row r="78" spans="1:11">
      <c r="A78" s="222"/>
      <c r="B78" s="210" t="s">
        <v>77</v>
      </c>
      <c r="C78" s="210"/>
      <c r="D78" s="210"/>
      <c r="E78" s="210"/>
      <c r="F78" s="3" t="s">
        <v>68</v>
      </c>
      <c r="G78" s="3">
        <v>1</v>
      </c>
      <c r="H78" s="3">
        <v>82</v>
      </c>
      <c r="I78" s="3">
        <f t="shared" si="4"/>
        <v>82</v>
      </c>
      <c r="J78" s="4"/>
    </row>
    <row r="79" spans="1:11">
      <c r="A79" s="222"/>
      <c r="B79" s="210" t="s">
        <v>75</v>
      </c>
      <c r="C79" s="210"/>
      <c r="D79" s="210"/>
      <c r="E79" s="210"/>
      <c r="F79" s="3" t="s">
        <v>69</v>
      </c>
      <c r="G79" s="3">
        <v>1</v>
      </c>
      <c r="H79" s="3">
        <v>300</v>
      </c>
      <c r="I79" s="3">
        <f t="shared" si="4"/>
        <v>300</v>
      </c>
      <c r="J79" s="4"/>
    </row>
    <row r="80" spans="1:11">
      <c r="A80" s="222"/>
      <c r="B80" s="210" t="s">
        <v>84</v>
      </c>
      <c r="C80" s="210"/>
      <c r="D80" s="210"/>
      <c r="E80" s="210"/>
      <c r="F80" s="3" t="s">
        <v>19</v>
      </c>
      <c r="G80" s="3">
        <v>1</v>
      </c>
      <c r="H80" s="3">
        <v>200</v>
      </c>
      <c r="I80" s="3">
        <f t="shared" si="4"/>
        <v>200</v>
      </c>
      <c r="J80" s="4"/>
    </row>
    <row r="81" spans="1:10">
      <c r="A81" s="222"/>
      <c r="B81" s="211" t="s">
        <v>70</v>
      </c>
      <c r="C81" s="211"/>
      <c r="D81" s="211"/>
      <c r="E81" s="211"/>
      <c r="F81" s="211">
        <f>SUM(I76:I80)</f>
        <v>1582</v>
      </c>
      <c r="G81" s="211"/>
      <c r="H81" s="211"/>
      <c r="I81" s="211"/>
      <c r="J81" s="4"/>
    </row>
    <row r="82" spans="1:10">
      <c r="A82" s="222"/>
      <c r="B82" s="210"/>
      <c r="C82" s="210"/>
      <c r="D82" s="210"/>
      <c r="E82" s="210"/>
      <c r="F82" s="3"/>
      <c r="G82" s="3"/>
      <c r="H82" s="3"/>
      <c r="I82" s="3"/>
      <c r="J82" s="4"/>
    </row>
    <row r="83" spans="1:10">
      <c r="A83" s="222"/>
      <c r="B83" s="210"/>
      <c r="C83" s="210"/>
      <c r="D83" s="210"/>
      <c r="E83" s="210"/>
      <c r="F83" s="3"/>
      <c r="G83" s="3"/>
      <c r="H83" s="3"/>
      <c r="I83" s="3"/>
      <c r="J83" s="4"/>
    </row>
    <row r="84" spans="1:10">
      <c r="A84" s="222"/>
      <c r="B84" s="210"/>
      <c r="C84" s="210"/>
      <c r="D84" s="210"/>
      <c r="E84" s="210"/>
      <c r="F84" s="3"/>
      <c r="G84" s="3"/>
      <c r="H84" s="3"/>
      <c r="I84" s="3"/>
      <c r="J84" s="4"/>
    </row>
    <row r="85" spans="1:10">
      <c r="A85" s="222"/>
      <c r="B85" s="210"/>
      <c r="C85" s="210"/>
      <c r="D85" s="210"/>
      <c r="E85" s="210"/>
      <c r="F85" s="3"/>
      <c r="G85" s="3"/>
      <c r="H85" s="3"/>
      <c r="I85" s="3"/>
      <c r="J85" s="4"/>
    </row>
    <row r="86" spans="1:10">
      <c r="A86" s="222"/>
      <c r="B86" s="210"/>
      <c r="C86" s="210"/>
      <c r="D86" s="210"/>
      <c r="E86" s="210"/>
      <c r="F86" s="3"/>
      <c r="G86" s="3"/>
      <c r="H86" s="3"/>
      <c r="I86" s="3"/>
      <c r="J86" s="4"/>
    </row>
    <row r="87" spans="1:10">
      <c r="A87" s="222"/>
      <c r="B87" s="210"/>
      <c r="C87" s="210"/>
      <c r="D87" s="210"/>
      <c r="E87" s="210"/>
      <c r="F87" s="3"/>
      <c r="G87" s="3"/>
      <c r="H87" s="3"/>
      <c r="I87" s="3"/>
      <c r="J87" s="4"/>
    </row>
    <row r="88" spans="1:10">
      <c r="A88" s="222"/>
      <c r="B88" s="210"/>
      <c r="C88" s="210"/>
      <c r="D88" s="210"/>
      <c r="E88" s="210"/>
      <c r="F88" s="3"/>
      <c r="G88" s="3"/>
      <c r="H88" s="3"/>
      <c r="I88" s="3"/>
      <c r="J88" s="4"/>
    </row>
    <row r="89" spans="1:10">
      <c r="A89" s="222"/>
      <c r="B89" s="210"/>
      <c r="C89" s="210"/>
      <c r="D89" s="210"/>
      <c r="E89" s="210"/>
      <c r="F89" s="3"/>
      <c r="G89" s="3"/>
      <c r="H89" s="3"/>
      <c r="I89" s="3"/>
      <c r="J89" s="4"/>
    </row>
    <row r="90" spans="1:10">
      <c r="A90" s="222"/>
      <c r="B90" s="210"/>
      <c r="C90" s="210"/>
      <c r="D90" s="210"/>
      <c r="E90" s="210"/>
      <c r="F90" s="3"/>
      <c r="G90" s="3"/>
      <c r="H90" s="3"/>
      <c r="I90" s="3"/>
      <c r="J90" s="4"/>
    </row>
    <row r="91" spans="1:10" ht="30.75" customHeight="1">
      <c r="A91" s="2"/>
      <c r="B91" s="210"/>
      <c r="C91" s="210"/>
      <c r="D91" s="210"/>
      <c r="E91" s="210"/>
      <c r="F91" s="210"/>
      <c r="G91" s="3"/>
      <c r="H91" s="211"/>
      <c r="I91" s="211"/>
      <c r="J91" s="4"/>
    </row>
    <row r="92" spans="1:10">
      <c r="A92" s="222"/>
      <c r="B92" s="210"/>
      <c r="C92" s="210"/>
      <c r="D92" s="210"/>
      <c r="E92" s="210"/>
      <c r="F92" s="3"/>
      <c r="G92" s="3"/>
      <c r="H92" s="3"/>
      <c r="I92" s="3"/>
      <c r="J92" s="4"/>
    </row>
    <row r="93" spans="1:10">
      <c r="A93" s="222"/>
      <c r="B93" s="210"/>
      <c r="C93" s="210"/>
      <c r="D93" s="210"/>
      <c r="E93" s="210"/>
      <c r="F93" s="3"/>
      <c r="G93" s="3"/>
      <c r="H93" s="3"/>
      <c r="I93" s="3"/>
      <c r="J93" s="4"/>
    </row>
    <row r="94" spans="1:10">
      <c r="A94" s="222"/>
      <c r="B94" s="210"/>
      <c r="C94" s="210"/>
      <c r="D94" s="210"/>
      <c r="E94" s="210"/>
      <c r="F94" s="3"/>
      <c r="G94" s="3"/>
      <c r="H94" s="3"/>
      <c r="I94" s="3"/>
      <c r="J94" s="4"/>
    </row>
    <row r="95" spans="1:10">
      <c r="A95" s="222"/>
      <c r="B95" s="210"/>
      <c r="C95" s="210"/>
      <c r="D95" s="210"/>
      <c r="E95" s="210"/>
      <c r="F95" s="3"/>
      <c r="G95" s="3"/>
      <c r="H95" s="3"/>
      <c r="I95" s="3"/>
      <c r="J95" s="4"/>
    </row>
    <row r="96" spans="1:10">
      <c r="A96" s="222"/>
      <c r="B96" s="210"/>
      <c r="C96" s="210"/>
      <c r="D96" s="210"/>
      <c r="E96" s="210"/>
      <c r="F96" s="3"/>
      <c r="G96" s="3"/>
      <c r="H96" s="3"/>
      <c r="I96" s="3"/>
      <c r="J96" s="4"/>
    </row>
    <row r="97" spans="1:10">
      <c r="A97" s="222"/>
      <c r="B97" s="210"/>
      <c r="C97" s="210"/>
      <c r="D97" s="210"/>
      <c r="E97" s="210"/>
      <c r="F97" s="3"/>
      <c r="G97" s="3"/>
      <c r="H97" s="3"/>
      <c r="I97" s="3"/>
      <c r="J97" s="4"/>
    </row>
    <row r="98" spans="1:10">
      <c r="A98" s="222"/>
      <c r="B98" s="211"/>
      <c r="C98" s="211"/>
      <c r="D98" s="211"/>
      <c r="E98" s="211"/>
      <c r="F98" s="211"/>
      <c r="G98" s="211"/>
      <c r="H98" s="211"/>
      <c r="I98" s="211"/>
      <c r="J98" s="4"/>
    </row>
    <row r="99" spans="1:10">
      <c r="A99" s="222"/>
      <c r="B99" s="210"/>
      <c r="C99" s="210"/>
      <c r="D99" s="210"/>
      <c r="E99" s="210"/>
      <c r="F99" s="3"/>
      <c r="G99" s="3"/>
      <c r="H99" s="3"/>
      <c r="I99" s="3"/>
      <c r="J99" s="4"/>
    </row>
    <row r="100" spans="1:10">
      <c r="A100" s="222"/>
      <c r="B100" s="210"/>
      <c r="C100" s="210"/>
      <c r="D100" s="210"/>
      <c r="E100" s="210"/>
      <c r="F100" s="3"/>
      <c r="G100" s="3"/>
      <c r="H100" s="3"/>
      <c r="I100" s="3"/>
      <c r="J100" s="4"/>
    </row>
    <row r="101" spans="1:10">
      <c r="A101" s="222"/>
      <c r="B101" s="210"/>
      <c r="C101" s="210"/>
      <c r="D101" s="210"/>
      <c r="E101" s="210"/>
      <c r="F101" s="3"/>
      <c r="G101" s="3"/>
      <c r="H101" s="3"/>
      <c r="I101" s="3"/>
      <c r="J101" s="4"/>
    </row>
    <row r="102" spans="1:10">
      <c r="A102" s="222"/>
      <c r="B102" s="210"/>
      <c r="C102" s="210"/>
      <c r="D102" s="210"/>
      <c r="E102" s="210"/>
      <c r="F102" s="3"/>
      <c r="G102" s="3"/>
      <c r="H102" s="3"/>
      <c r="I102" s="3"/>
      <c r="J102" s="4"/>
    </row>
    <row r="103" spans="1:10">
      <c r="A103" s="222"/>
      <c r="B103" s="210"/>
      <c r="C103" s="210"/>
      <c r="D103" s="210"/>
      <c r="E103" s="210"/>
      <c r="F103" s="3"/>
      <c r="G103" s="3"/>
      <c r="H103" s="3"/>
      <c r="I103" s="3"/>
      <c r="J103" s="4"/>
    </row>
    <row r="104" spans="1:10">
      <c r="A104" s="222"/>
      <c r="B104" s="210"/>
      <c r="C104" s="210"/>
      <c r="D104" s="210"/>
      <c r="E104" s="210"/>
      <c r="F104" s="3"/>
      <c r="G104" s="3"/>
      <c r="H104" s="3"/>
      <c r="I104" s="3"/>
      <c r="J104" s="4"/>
    </row>
    <row r="105" spans="1:10">
      <c r="A105" s="222"/>
      <c r="B105" s="210"/>
      <c r="C105" s="210"/>
      <c r="D105" s="210"/>
      <c r="E105" s="210"/>
      <c r="F105" s="3"/>
      <c r="G105" s="3"/>
      <c r="H105" s="3"/>
      <c r="I105" s="3"/>
      <c r="J105" s="4"/>
    </row>
    <row r="106" spans="1:10">
      <c r="A106" s="222"/>
      <c r="B106" s="210"/>
      <c r="C106" s="210"/>
      <c r="D106" s="210"/>
      <c r="E106" s="210"/>
      <c r="F106" s="3"/>
      <c r="G106" s="3"/>
      <c r="H106" s="3"/>
      <c r="I106" s="3"/>
      <c r="J106" s="4"/>
    </row>
    <row r="107" spans="1:10">
      <c r="A107" s="222"/>
      <c r="B107" s="210"/>
      <c r="C107" s="210"/>
      <c r="D107" s="210"/>
      <c r="E107" s="210"/>
      <c r="F107" s="3"/>
      <c r="G107" s="3"/>
      <c r="H107" s="3"/>
      <c r="I107" s="3"/>
      <c r="J107" s="4"/>
    </row>
    <row r="108" spans="1:10">
      <c r="A108" s="222"/>
      <c r="B108" s="210"/>
      <c r="C108" s="210"/>
      <c r="D108" s="210"/>
      <c r="E108" s="210"/>
      <c r="F108" s="3"/>
      <c r="G108" s="3"/>
      <c r="H108" s="3"/>
      <c r="I108" s="3"/>
      <c r="J108" s="4"/>
    </row>
    <row r="110" spans="1:10">
      <c r="A110" s="225"/>
      <c r="B110" s="225"/>
      <c r="C110" s="225"/>
    </row>
  </sheetData>
  <mergeCells count="127">
    <mergeCell ref="B85:E85"/>
    <mergeCell ref="B86:E86"/>
    <mergeCell ref="A110:C110"/>
    <mergeCell ref="A92:A108"/>
    <mergeCell ref="B103:E103"/>
    <mergeCell ref="B104:E104"/>
    <mergeCell ref="B105:E105"/>
    <mergeCell ref="B106:E106"/>
    <mergeCell ref="B107:E107"/>
    <mergeCell ref="B108:E108"/>
    <mergeCell ref="B98:E98"/>
    <mergeCell ref="B94:E94"/>
    <mergeCell ref="B95:E95"/>
    <mergeCell ref="B96:E96"/>
    <mergeCell ref="B97:E97"/>
    <mergeCell ref="B89:E89"/>
    <mergeCell ref="F98:I98"/>
    <mergeCell ref="B99:E99"/>
    <mergeCell ref="B100:E100"/>
    <mergeCell ref="B101:E101"/>
    <mergeCell ref="B102:E102"/>
    <mergeCell ref="B92:E92"/>
    <mergeCell ref="B93:E93"/>
    <mergeCell ref="A75:A90"/>
    <mergeCell ref="B75:E75"/>
    <mergeCell ref="B76:E76"/>
    <mergeCell ref="B77:E77"/>
    <mergeCell ref="B78:E78"/>
    <mergeCell ref="B79:E79"/>
    <mergeCell ref="B80:E80"/>
    <mergeCell ref="B81:E81"/>
    <mergeCell ref="B90:E90"/>
    <mergeCell ref="B87:E87"/>
    <mergeCell ref="B88:E88"/>
    <mergeCell ref="B91:F91"/>
    <mergeCell ref="H91:I91"/>
    <mergeCell ref="F81:I81"/>
    <mergeCell ref="B82:E82"/>
    <mergeCell ref="B83:E83"/>
    <mergeCell ref="B84:E84"/>
    <mergeCell ref="B60:E60"/>
    <mergeCell ref="B61:E61"/>
    <mergeCell ref="B62:E62"/>
    <mergeCell ref="B56:F56"/>
    <mergeCell ref="H56:I56"/>
    <mergeCell ref="A57:A73"/>
    <mergeCell ref="B64:E64"/>
    <mergeCell ref="B65:E65"/>
    <mergeCell ref="B66:E66"/>
    <mergeCell ref="B67:E67"/>
    <mergeCell ref="B57:E57"/>
    <mergeCell ref="B58:E58"/>
    <mergeCell ref="B59:E59"/>
    <mergeCell ref="B74:F74"/>
    <mergeCell ref="H74:I74"/>
    <mergeCell ref="B68:E68"/>
    <mergeCell ref="B69:E69"/>
    <mergeCell ref="B70:E70"/>
    <mergeCell ref="B71:E71"/>
    <mergeCell ref="B72:E72"/>
    <mergeCell ref="B73:E73"/>
    <mergeCell ref="B63:E63"/>
    <mergeCell ref="F63:I63"/>
    <mergeCell ref="B39:F39"/>
    <mergeCell ref="H39:I39"/>
    <mergeCell ref="A40:A55"/>
    <mergeCell ref="B40:E40"/>
    <mergeCell ref="B41:E41"/>
    <mergeCell ref="B42:E42"/>
    <mergeCell ref="B43:E43"/>
    <mergeCell ref="B44:E44"/>
    <mergeCell ref="B45:E45"/>
    <mergeCell ref="B46:E46"/>
    <mergeCell ref="B52:E52"/>
    <mergeCell ref="B53:E53"/>
    <mergeCell ref="B54:E54"/>
    <mergeCell ref="B55:E55"/>
    <mergeCell ref="F46:I46"/>
    <mergeCell ref="B47:E47"/>
    <mergeCell ref="B48:E48"/>
    <mergeCell ref="B49:E49"/>
    <mergeCell ref="B50:E50"/>
    <mergeCell ref="B51:E51"/>
    <mergeCell ref="B37:E37"/>
    <mergeCell ref="B38:E38"/>
    <mergeCell ref="B22:F22"/>
    <mergeCell ref="H22:I22"/>
    <mergeCell ref="F29:I29"/>
    <mergeCell ref="A6:A21"/>
    <mergeCell ref="B35:E35"/>
    <mergeCell ref="B36:E36"/>
    <mergeCell ref="B29:E29"/>
    <mergeCell ref="B30:E30"/>
    <mergeCell ref="B31:E31"/>
    <mergeCell ref="B32:E32"/>
    <mergeCell ref="B33:E33"/>
    <mergeCell ref="B34:E34"/>
    <mergeCell ref="B26:E26"/>
    <mergeCell ref="B27:E27"/>
    <mergeCell ref="B28:E28"/>
    <mergeCell ref="B20:E20"/>
    <mergeCell ref="B21:E21"/>
    <mergeCell ref="B23:E23"/>
    <mergeCell ref="B24:E24"/>
    <mergeCell ref="B25:E25"/>
    <mergeCell ref="B17:E17"/>
    <mergeCell ref="B18:E18"/>
    <mergeCell ref="B19:E19"/>
    <mergeCell ref="B12:E12"/>
    <mergeCell ref="B13:E13"/>
    <mergeCell ref="B14:E14"/>
    <mergeCell ref="B15:E15"/>
    <mergeCell ref="B16:E16"/>
    <mergeCell ref="A1:J1"/>
    <mergeCell ref="F12:I12"/>
    <mergeCell ref="B6:E6"/>
    <mergeCell ref="B7:E7"/>
    <mergeCell ref="B8:E8"/>
    <mergeCell ref="B9:E9"/>
    <mergeCell ref="B10:E10"/>
    <mergeCell ref="B11:E11"/>
    <mergeCell ref="H4:I4"/>
    <mergeCell ref="H5:I5"/>
    <mergeCell ref="B5:F5"/>
    <mergeCell ref="B4:E4"/>
    <mergeCell ref="A2:J2"/>
    <mergeCell ref="A3:J3"/>
  </mergeCells>
  <phoneticPr fontId="1" type="noConversion"/>
  <printOptions horizontalCentered="1" verticalCentered="1"/>
  <pageMargins left="0.82677165354330717" right="0.70866141732283472" top="0.9055118110236221" bottom="0.74803149606299213" header="0.31496062992125984" footer="0.31496062992125984"/>
  <pageSetup paperSize="9" scale="93" fitToWidth="0" fitToHeight="0" orientation="portrait" r:id="rId1"/>
  <rowBreaks count="1" manualBreakCount="1">
    <brk id="38" max="9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5</vt:i4>
      </vt:variant>
    </vt:vector>
  </HeadingPairs>
  <TitlesOfParts>
    <vt:vector size="8" baseType="lpstr">
      <vt:lpstr>300總表</vt:lpstr>
      <vt:lpstr>300詳細價目表 </vt:lpstr>
      <vt:lpstr>單價分析表</vt:lpstr>
      <vt:lpstr>'300詳細價目表 '!Print_Area</vt:lpstr>
      <vt:lpstr>'300總表'!Print_Area</vt:lpstr>
      <vt:lpstr>單價分析表!Print_Area</vt:lpstr>
      <vt:lpstr>'300詳細價目表 '!Print_Titles</vt:lpstr>
      <vt:lpstr>'300總表'!Print_Titles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雅鳳 江</cp:lastModifiedBy>
  <cp:lastPrinted>2026-09-09T05:10:54Z</cp:lastPrinted>
  <dcterms:created xsi:type="dcterms:W3CDTF">2021-12-06T02:01:27Z</dcterms:created>
  <dcterms:modified xsi:type="dcterms:W3CDTF">2026-10-13T05:50:40Z</dcterms:modified>
</cp:coreProperties>
</file>